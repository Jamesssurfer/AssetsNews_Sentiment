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6">
      <c r="A656" t="inlineStr">
        <is>
          <t>2026-10-12T17:29:39+00:00</t>
        </is>
      </c>
      <c r="B656" t="inlineStr">
        <is>
          <t>2026-10-12</t>
        </is>
      </c>
      <c r="C656" t="inlineStr">
        <is>
          <t>Gold</t>
        </is>
      </c>
      <c r="D656" t="inlineStr">
        <is>
          <t>GCZ26.CMX</t>
        </is>
      </c>
      <c r="E656" t="n">
        <v>4195.3999</v>
      </c>
      <c r="F656" t="n">
        <v>4199.2998</v>
      </c>
      <c r="G656" t="n">
        <v>4182.5</v>
      </c>
      <c r="H656" t="n">
        <v>4190.7002</v>
      </c>
      <c r="I656" t="n">
        <v>18850</v>
      </c>
      <c r="J656" t="n">
        <v>4</v>
      </c>
      <c r="K656" t="n">
        <v>40</v>
      </c>
      <c r="L656" t="n">
        <v>0.068</v>
      </c>
      <c r="M656" t="n">
        <v>-0.108</v>
      </c>
      <c r="N656" t="n">
        <v>40</v>
      </c>
      <c r="O656" t="n">
        <v>0.063</v>
      </c>
      <c r="P656" t="n">
        <v>0.002</v>
      </c>
      <c r="Q656" t="n">
        <v>2.617</v>
      </c>
      <c r="R656" t="inlineStr">
        <is>
          <t>finbert</t>
        </is>
      </c>
      <c r="S656" t="inlineStr">
        <is>
          <t>NVIDIA hits record high and lifts industrial metals - Mining.com.au</t>
        </is>
      </c>
      <c r="T65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56" t="inlineStr">
        <is>
          <t>China’s central bank buys 21 tonnes of gold in September, largest monthly purchase in 3 years - Kitco</t>
        </is>
      </c>
      <c r="V65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656" t="inlineStr">
        <is>
          <t>Entrenched premium leaves gold primed to climb despite surge in US bond yields - Reuters</t>
        </is>
      </c>
      <c r="X656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656" t="inlineStr">
        <is>
          <t>Gold Breaks Down on Descending Triangle, Sets Up $4k Test - FOREX.com</t>
        </is>
      </c>
      <c r="Z65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6" t="inlineStr">
        <is>
          <t>Gold market sees positive ETF inflows in July, ending two months of outflows - Kitco</t>
        </is>
      </c>
      <c r="AB6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56" t="inlineStr">
        <is>
          <t>Gold ETF Inflows Jump 71% MoM To Rs 4,451 Crore In September; More Details Inside - NDTV Profit</t>
        </is>
      </c>
      <c r="AD656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57">
      <c r="A657" t="inlineStr">
        <is>
          <t>2026-10-12T17:29:39+00:00</t>
        </is>
      </c>
      <c r="B657" t="inlineStr">
        <is>
          <t>2026-10-12</t>
        </is>
      </c>
      <c r="C657" t="inlineStr">
        <is>
          <t>Oil</t>
        </is>
      </c>
      <c r="D657" t="inlineStr">
        <is>
          <t>CL=F</t>
        </is>
      </c>
      <c r="E657" t="n">
        <v>93.8</v>
      </c>
      <c r="F657" t="n">
        <v>94.02</v>
      </c>
      <c r="G657" t="n">
        <v>93.45999999999999</v>
      </c>
      <c r="H657" t="n">
        <v>93.77</v>
      </c>
      <c r="I657" t="n">
        <v>46903</v>
      </c>
      <c r="J657" t="n">
        <v>4</v>
      </c>
      <c r="K657" t="n">
        <v>40</v>
      </c>
      <c r="L657" t="n">
        <v>-0.03</v>
      </c>
      <c r="M657" t="n">
        <v>-0.225</v>
      </c>
      <c r="N657" t="n">
        <v>40</v>
      </c>
      <c r="O657" t="n">
        <v>0.322</v>
      </c>
      <c r="P657" t="n">
        <v>-0.08599999999999999</v>
      </c>
      <c r="Q657" t="n">
        <v>5.842</v>
      </c>
      <c r="R657" t="inlineStr">
        <is>
          <t>finbert</t>
        </is>
      </c>
      <c r="S657" t="inlineStr">
        <is>
          <t>Malaysian palm oil rises on strong export demand - UkrAgroConsult</t>
        </is>
      </c>
      <c r="T657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57" t="inlineStr">
        <is>
          <t>Oil surges 6%, Brent and US crude both surpass $100 on more tanker attacks - Reuters</t>
        </is>
      </c>
      <c r="V6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7" t="inlineStr">
        <is>
          <t>MPOB Monthly Report Imminent: Malaysia's Palm Oil Stockpiles May Surge Past 2.6 Million Tonnes as Strong El Niño Fuels Distant-Month Supply Cut Expectations - BigGo Finance</t>
        </is>
      </c>
      <c r="X65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7" t="inlineStr">
        <is>
          <t>Crude Oil WTI breaks 200MA support at $88: Live levels By Investing.com - Investing.com South Africa</t>
        </is>
      </c>
      <c r="Z6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7" t="inlineStr">
        <is>
          <t>Current price of oil as of October 12, 2026 - Fortune</t>
        </is>
      </c>
      <c r="AB657" t="inlineStr">
        <is>
          <t>https://news.google.com/rss/articles/CBMiYkFVX3lxTFBBUnpTblBFMXR5ZElCU3hWS0M0cjRhZ3lKY2JnV0t1dzc4cy1OTDlQX0RReDk4ZTU2bjVYeURQbHVBdmtTX0k3QzhzVnl5RU1QalNiTkgzMGtVM1RMYXBqN0VR?oc=5</t>
        </is>
      </c>
      <c r="AC657" t="inlineStr">
        <is>
          <t>Natural Gas and Oil Forecast: WTI Tests $91.40, Can Brent Break $106 and NG Reach $3.35? - FXEmpire</t>
        </is>
      </c>
      <c r="AD65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58">
      <c r="A658" t="inlineStr">
        <is>
          <t>2026-10-12T17:29:39+00:00</t>
        </is>
      </c>
      <c r="B658" t="inlineStr">
        <is>
          <t>2026-10-12</t>
        </is>
      </c>
      <c r="C658" t="inlineStr">
        <is>
          <t>US Dollar</t>
        </is>
      </c>
      <c r="D658" t="inlineStr">
        <is>
          <t>DX-Y.NYB</t>
        </is>
      </c>
      <c r="E658" t="n">
        <v>102.418</v>
      </c>
      <c r="F658" t="n">
        <v>102.604</v>
      </c>
      <c r="G658" t="n">
        <v>102.416</v>
      </c>
      <c r="H658" t="n">
        <v>102.563</v>
      </c>
      <c r="I658" t="n">
        <v>0</v>
      </c>
      <c r="J658" t="n">
        <v>4</v>
      </c>
      <c r="K658" t="n">
        <v>40</v>
      </c>
      <c r="L658" t="n">
        <v>-0.146</v>
      </c>
      <c r="M658" t="n">
        <v>0.064</v>
      </c>
      <c r="N658" t="n">
        <v>40</v>
      </c>
      <c r="O658" t="n">
        <v>0.196</v>
      </c>
      <c r="P658" t="n">
        <v>-0.011</v>
      </c>
      <c r="Q658" t="n">
        <v>1.006</v>
      </c>
      <c r="R658" t="inlineStr">
        <is>
          <t>finbert</t>
        </is>
      </c>
      <c r="S658" t="inlineStr">
        <is>
          <t>Gold futures extend gains as safe-haven demand picks up. - CME Group</t>
        </is>
      </c>
      <c r="T65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8" t="inlineStr">
        <is>
          <t>US Dollar strengthens as Fed rate hike fears grow - MarketPulse</t>
        </is>
      </c>
      <c r="V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8" t="inlineStr">
        <is>
          <t>Swissy Attracts Safe-Haven Bets, AUD Shorts Surge to Record High| COT report - FOREX.com</t>
        </is>
      </c>
      <c r="X65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58" t="inlineStr">
        <is>
          <t>A hawkish Fed and a dovish SNB are driving gains in USDCHF - marketpulse.com</t>
        </is>
      </c>
      <c r="Z6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8" t="inlineStr">
        <is>
          <t>US Dollar strengthens as Fed rate hike fears grow - MarketPulse</t>
        </is>
      </c>
      <c r="AB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8" t="inlineStr">
        <is>
          <t>Dollar Index Falls on Tuesday - TradingView</t>
        </is>
      </c>
      <c r="AD65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9">
      <c r="A659" t="inlineStr">
        <is>
          <t>2026-10-12T17:29:39+00:00</t>
        </is>
      </c>
      <c r="B659" t="inlineStr">
        <is>
          <t>2026-10-12</t>
        </is>
      </c>
      <c r="C659" t="inlineStr">
        <is>
          <t>S&amp;P 500</t>
        </is>
      </c>
      <c r="D659" t="inlineStr">
        <is>
          <t>ES=F</t>
        </is>
      </c>
      <c r="E659" t="n">
        <v>7861</v>
      </c>
      <c r="F659" t="n">
        <v>7867.5</v>
      </c>
      <c r="G659" t="n">
        <v>7849.5</v>
      </c>
      <c r="H659" t="n">
        <v>7855.5</v>
      </c>
      <c r="I659" t="n">
        <v>319272</v>
      </c>
      <c r="J659" t="n">
        <v>4</v>
      </c>
      <c r="K659" t="n">
        <v>38</v>
      </c>
      <c r="L659" t="n">
        <v>0.015</v>
      </c>
      <c r="M659" t="n">
        <v>0.033</v>
      </c>
      <c r="N659" t="n">
        <v>40</v>
      </c>
      <c r="O659" t="n">
        <v>0.316</v>
      </c>
      <c r="P659" t="n">
        <v>0.057</v>
      </c>
      <c r="Q659" t="n">
        <v>5.616</v>
      </c>
      <c r="R659" t="inlineStr">
        <is>
          <t>finbert</t>
        </is>
      </c>
      <c r="S659" t="inlineStr">
        <is>
          <t>IBRX Breaks Above This Key Resistance — Stock On Track To Record Best Single-Day Gains In 6 Months - Yahoo Finance</t>
        </is>
      </c>
      <c r="T6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9" t="inlineStr">
        <is>
          <t>S&amp;P 500 posts first close above 7,800, boosted by tech gains and cooler yields - CNBC</t>
        </is>
      </c>
      <c r="V659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59" t="inlineStr">
        <is>
          <t>Hong Kong ETF Turnover Surges As Market Expands Virtual-Asset Products - Crowdfund Insider</t>
        </is>
      </c>
      <c r="X659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9" t="inlineStr">
        <is>
          <t>Dow Adds 52, Nasdaq Slides 345, S&amp;P 500 Falls 36 - TV News Check</t>
        </is>
      </c>
      <c r="Z65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9" t="inlineStr">
        <is>
          <t>Update: Nasdaq Composite, S&amp;P 500 Fall From Record Following Fed Meeting Minutes - Yahoo Finance</t>
        </is>
      </c>
      <c r="AB659" t="inlineStr">
        <is>
          <t>https://news.google.com/rss/articles/CBMilwFBVV95cUxONzIzT1g1MGpRNmt3dHFhQm1PV1gwOFFVUXdsNGRTYWNqd2ZFcnJQaTBEY0RwenhYUW9sOGM4aEgwb0EwMDVqZUlOcjNYNkwzeEk5NDdrY3B3QjM3Q2d5dXlvTFpzbmpkVzZKWG85WjBWTUN6d2JwS2VuQVFCOVVwc1ZyLUdWei1mczY5bVRwUFZNckI5bmZZ?oc=5</t>
        </is>
      </c>
      <c r="AC659" t="inlineStr">
        <is>
          <t>Crédit Agricole stock breaks its €16.64 support level and erases previous day's rebound - Idéal Investisseur</t>
        </is>
      </c>
      <c r="AD65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60">
      <c r="A660" t="inlineStr">
        <is>
          <t>2026-10-12T17:29:39+00:00</t>
        </is>
      </c>
      <c r="B660" t="inlineStr">
        <is>
          <t>2026-10-12</t>
        </is>
      </c>
      <c r="C660" t="inlineStr">
        <is>
          <t>Nasdaq</t>
        </is>
      </c>
      <c r="D660" t="inlineStr">
        <is>
          <t>NQ=F</t>
        </is>
      </c>
      <c r="E660" t="n">
        <v>30961.5</v>
      </c>
      <c r="F660" t="n">
        <v>30979.75</v>
      </c>
      <c r="G660" t="n">
        <v>30857.25</v>
      </c>
      <c r="H660" t="n">
        <v>30901.5</v>
      </c>
      <c r="I660" t="n">
        <v>151774</v>
      </c>
      <c r="J660" t="n">
        <v>4</v>
      </c>
      <c r="K660" t="n">
        <v>37</v>
      </c>
      <c r="L660" t="n">
        <v>-0.176</v>
      </c>
      <c r="M660" t="n">
        <v>0.018</v>
      </c>
      <c r="N660" t="n">
        <v>37</v>
      </c>
      <c r="O660" t="n">
        <v>0.29</v>
      </c>
      <c r="P660" t="n">
        <v>0.019</v>
      </c>
      <c r="Q660" t="n">
        <v>2.101</v>
      </c>
      <c r="R660" t="inlineStr">
        <is>
          <t>finbert</t>
        </is>
      </c>
      <c r="S660" t="inlineStr">
        <is>
          <t>Robinhood Technical Analysis: Will HOOD Break Out? - Robinhood Markets (NASDAQ:HOOD) - Benzinga</t>
        </is>
      </c>
      <c r="T66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0" t="inlineStr">
        <is>
          <t>Nasdaq analysis today at investingLive.com - TradingView</t>
        </is>
      </c>
      <c r="V66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0" t="inlineStr">
        <is>
          <t>US Market Update: Dow Rises 423 Points, Tech Stocks Surge - GuruFocus</t>
        </is>
      </c>
      <c r="X660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0" t="inlineStr">
        <is>
          <t>Dow Adds 52, Nasdaq Slides 345, S&amp;P 500 Falls 36 - TV News Check</t>
        </is>
      </c>
      <c r="Z66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0" t="inlineStr">
        <is>
          <t>Jensen Huang, Larry Ellison Lose Combined $15 Billion In A Day - Forbes</t>
        </is>
      </c>
      <c r="AB66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60" t="inlineStr">
        <is>
          <t>Nasdaq 100 breaks cloud support at 30,935: Live levels - Investing.com</t>
        </is>
      </c>
      <c r="AD66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661">
      <c r="A661" t="inlineStr">
        <is>
          <t>2026-10-12T17:29:39+00:00</t>
        </is>
      </c>
      <c r="B661" t="inlineStr">
        <is>
          <t>2026-10-12</t>
        </is>
      </c>
      <c r="C661" t="inlineStr">
        <is>
          <t>Bitcoin</t>
        </is>
      </c>
      <c r="D661" t="inlineStr">
        <is>
          <t>BTC-USD</t>
        </is>
      </c>
      <c r="E661" t="n">
        <v>82873.5625</v>
      </c>
      <c r="F661" t="n">
        <v>83030.3594</v>
      </c>
      <c r="G661" t="n">
        <v>82313</v>
      </c>
      <c r="H661" t="n">
        <v>82448.4375</v>
      </c>
      <c r="I661" t="n">
        <v>2151813120</v>
      </c>
      <c r="J661" t="n">
        <v>4</v>
      </c>
      <c r="K661" t="n">
        <v>40</v>
      </c>
      <c r="L661" t="n">
        <v>0.218</v>
      </c>
      <c r="M661" t="n">
        <v>0.006</v>
      </c>
      <c r="N661" t="n">
        <v>37</v>
      </c>
      <c r="O661" t="n">
        <v>0.447</v>
      </c>
      <c r="P661" t="n">
        <v>-0.144</v>
      </c>
      <c r="Q661" t="n">
        <v>14.133</v>
      </c>
      <c r="R661" t="inlineStr">
        <is>
          <t>finbert</t>
        </is>
      </c>
      <c r="S661" t="inlineStr">
        <is>
          <t>Bitcoin surges 22% for the week as investor optimism floods back - CNBC</t>
        </is>
      </c>
      <c r="T6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1" t="inlineStr">
        <is>
          <t>Bitcoin and Filecoin Price Prediction: FIL Surges 11% as Remittix Emerges as a New Q4 Contender - StreetInsider</t>
        </is>
      </c>
      <c r="V661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61" t="inlineStr">
        <is>
          <t>Bitcoin surges 5% to top $80,000 as investors look past Clarity Act's failure - Yahoo Finance</t>
        </is>
      </c>
      <c r="X66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1" t="inlineStr">
        <is>
          <t>Bitcoin and Ethereum ETFs Reverse Course With $1.22 Billion in Weekly Outflows - Bitcoin Foundation</t>
        </is>
      </c>
      <c r="Z661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A661" t="inlineStr">
        <is>
          <t>Bitcoin, ETH, &amp; XRP Whales Remain Bullish Despite Crypto Market Crash, Here’s All - CryptoRank</t>
        </is>
      </c>
      <c r="AB66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61" t="inlineStr">
        <is>
          <t>Bitcoin Price Prediction Ahead of US Inflation Data and Kevin Warsh’s Speech - CoinGape</t>
        </is>
      </c>
      <c r="AD661" t="inlineStr">
        <is>
          <t>https://news.google.com/rss/articles/CBMiqAFBVV95cUxPMk5WZ2xyMGRtN0Q3MHpNNkhGY0dsTzJwenBDRFZUaWRLaTZHVkMxWjVuT2l4LWVPNGdPWTV1ZUFqT1RFWEUxRkVwVlBhVWJHbnJCTTRLNEduMThISjlrdTBWc1dPVlJQdVVkT0NqSXJra09ual85dWgtZWFvVUg5a3MxYnlWbndPNjRLRVBwd0RYS05zNDlycWJGT3F4VlF0ektrb0FNZGg?oc=5</t>
        </is>
      </c>
    </row>
    <row r="662">
      <c r="A662" t="inlineStr">
        <is>
          <t>2026-10-13T01:53:06+00:00</t>
        </is>
      </c>
      <c r="B662" t="inlineStr">
        <is>
          <t>2026-10-13</t>
        </is>
      </c>
      <c r="C662" t="inlineStr">
        <is>
          <t>Gold</t>
        </is>
      </c>
      <c r="D662" t="inlineStr">
        <is>
          <t>GCZ26.CMX</t>
        </is>
      </c>
      <c r="E662" t="n">
        <v>4195.5</v>
      </c>
      <c r="F662" t="n">
        <v>4201.7002</v>
      </c>
      <c r="G662" t="n">
        <v>4175.6001</v>
      </c>
      <c r="H662" t="n">
        <v>4178.8999</v>
      </c>
      <c r="I662" t="n">
        <v>13757</v>
      </c>
      <c r="J662" t="n">
        <v>4</v>
      </c>
      <c r="K662" t="n">
        <v>40</v>
      </c>
      <c r="L662" t="n">
        <v>0.114</v>
      </c>
      <c r="M662" t="n">
        <v>-0.06900000000000001</v>
      </c>
      <c r="N662" t="n">
        <v>40</v>
      </c>
      <c r="O662" t="n">
        <v>0.096</v>
      </c>
      <c r="P662" t="n">
        <v>0.026</v>
      </c>
      <c r="Q662" t="n">
        <v>4.194</v>
      </c>
      <c r="R662" t="inlineStr">
        <is>
          <t>finbert</t>
        </is>
      </c>
      <c r="S662" t="inlineStr">
        <is>
          <t>Gold hits record above $5,100 as geopolitics drive safe‑haven rush - Reuters</t>
        </is>
      </c>
      <c r="T6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2" t="inlineStr">
        <is>
          <t>Silver hits record high above $100/oz as gold closes in on $5,000 milestone - CNBC</t>
        </is>
      </c>
      <c r="V66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2" t="inlineStr">
        <is>
          <t>China’s central bank buys 21 tonnes of gold in September, largest monthly purchase in 3 years - Kitco</t>
        </is>
      </c>
      <c r="X66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2" t="inlineStr">
        <is>
          <t>Gold Breaks Down on Descending Triangle, Sets Up $4k Test - FOREX.com</t>
        </is>
      </c>
      <c r="Z66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2" t="inlineStr">
        <is>
          <t>Gold market sees positive ETF inflows in July, ending two months of outflows - Kitco</t>
        </is>
      </c>
      <c r="AB6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2" t="inlineStr">
        <is>
          <t>Gold ETF Inflows Jump 71% MoM To Rs 4,451 Crore In September; More Details Inside - NDTV Profit</t>
        </is>
      </c>
      <c r="AD662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3">
      <c r="A663" t="inlineStr">
        <is>
          <t>2026-10-13T01:53:06+00:00</t>
        </is>
      </c>
      <c r="B663" t="inlineStr">
        <is>
          <t>2026-10-13</t>
        </is>
      </c>
      <c r="C663" t="inlineStr">
        <is>
          <t>Oil</t>
        </is>
      </c>
      <c r="D663" t="inlineStr">
        <is>
          <t>CL=F</t>
        </is>
      </c>
      <c r="E663" t="n">
        <v>93.27</v>
      </c>
      <c r="F663" t="n">
        <v>93.48999999999999</v>
      </c>
      <c r="G663" t="n">
        <v>92.65000000000001</v>
      </c>
      <c r="H663" t="n">
        <v>92.73</v>
      </c>
      <c r="I663" t="n">
        <v>7220</v>
      </c>
      <c r="J663" t="n">
        <v>4</v>
      </c>
      <c r="K663" t="n">
        <v>40</v>
      </c>
      <c r="L663" t="n">
        <v>-0.114</v>
      </c>
      <c r="M663" t="n">
        <v>-0.256</v>
      </c>
      <c r="N663" t="n">
        <v>40</v>
      </c>
      <c r="O663" t="n">
        <v>0.304</v>
      </c>
      <c r="P663" t="n">
        <v>-0.104</v>
      </c>
      <c r="Q663" t="n">
        <v>3.806</v>
      </c>
      <c r="R663" t="inlineStr">
        <is>
          <t>finbert</t>
        </is>
      </c>
      <c r="S663" t="inlineStr">
        <is>
          <t>Malaysian palm oil rises on strong export demand - UkrAgroConsult</t>
        </is>
      </c>
      <c r="T663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63" t="inlineStr">
        <is>
          <t>Oil surges 6%, Brent and US crude both surpass $100 on more tanker attacks - Reuters</t>
        </is>
      </c>
      <c r="V6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63" t="inlineStr">
        <is>
          <t>MPOB Monthly Report Imminent: Malaysia's Palm Oil Stockpiles May Surge Past 2.6 Million Tonnes as Strong El Niño Fuels Distant-Month Supply Cut Expectations - BigGo Finance</t>
        </is>
      </c>
      <c r="X66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63" t="inlineStr">
        <is>
          <t>Crude Oil WTI breaks 200MA support at $88: Live levels By Investing.com - Investing.com South Africa</t>
        </is>
      </c>
      <c r="Z66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3" t="inlineStr">
        <is>
          <t>Current price of oil as of October 12, 2026 - Fortune</t>
        </is>
      </c>
      <c r="AB663" t="inlineStr">
        <is>
          <t>https://news.google.com/rss/articles/CBMiYkFVX3lxTFBBUnpTblBFMXR5ZElCU3hWS0M0cjRhZ3lKY2JnV0t1dzc4cy1OTDlQX0RReDk4ZTU2bjVYeURQbHVBdmtTX0k3QzhzVnl5RU1QalNiTkgzMGtVM1RMYXBqN0VR?oc=5</t>
        </is>
      </c>
      <c r="AC663" t="inlineStr">
        <is>
          <t>Natural Gas and Oil Forecast: WTI Tests $91.40, Can Brent Break $106 and NG Reach $3.35? - FXEmpire</t>
        </is>
      </c>
      <c r="AD66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64">
      <c r="A664" t="inlineStr">
        <is>
          <t>2026-10-13T01:53:06+00:00</t>
        </is>
      </c>
      <c r="B664" t="inlineStr">
        <is>
          <t>2026-10-13</t>
        </is>
      </c>
      <c r="C664" t="inlineStr">
        <is>
          <t>US Dollar</t>
        </is>
      </c>
      <c r="D664" t="inlineStr">
        <is>
          <t>DX-Y.NYB</t>
        </is>
      </c>
      <c r="E664" t="n">
        <v>102.562</v>
      </c>
      <c r="F664" t="n">
        <v>102.574</v>
      </c>
      <c r="G664" t="n">
        <v>102.449</v>
      </c>
      <c r="H664" t="n">
        <v>102.484</v>
      </c>
      <c r="I664" t="n">
        <v>0</v>
      </c>
      <c r="J664" t="n">
        <v>4</v>
      </c>
      <c r="K664" t="n">
        <v>40</v>
      </c>
      <c r="L664" t="n">
        <v>-0.237</v>
      </c>
      <c r="M664" t="n">
        <v>0.064</v>
      </c>
      <c r="N664" t="n">
        <v>40</v>
      </c>
      <c r="O664" t="n">
        <v>0.18</v>
      </c>
      <c r="P664" t="n">
        <v>-0.022</v>
      </c>
      <c r="Q664" t="n">
        <v>-1.137</v>
      </c>
      <c r="R664" t="inlineStr">
        <is>
          <t>finbert</t>
        </is>
      </c>
      <c r="S664" t="inlineStr">
        <is>
          <t>Gold futures extend gains as safe-haven demand picks up. - CME Group</t>
        </is>
      </c>
      <c r="T66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64" t="inlineStr">
        <is>
          <t>US Dollar strengthens as Fed rate hike fears grow - MarketPulse</t>
        </is>
      </c>
      <c r="V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64" t="inlineStr">
        <is>
          <t>Swissy Attracts Safe-Haven Bets, AUD Shorts Surge to Record High| COT report - FOREX.com</t>
        </is>
      </c>
      <c r="X664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64" t="inlineStr">
        <is>
          <t>A hawkish Fed and a dovish SNB are driving gains in USDCHF - marketpulse.com</t>
        </is>
      </c>
      <c r="Z6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64" t="inlineStr">
        <is>
          <t>US Dollar strengthens as Fed rate hike fears grow - MarketPulse</t>
        </is>
      </c>
      <c r="AB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64" t="inlineStr">
        <is>
          <t>Dollar Index Falls on Tuesday - TradingView</t>
        </is>
      </c>
      <c r="AD66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65">
      <c r="A665" t="inlineStr">
        <is>
          <t>2026-10-13T01:53:06+00:00</t>
        </is>
      </c>
      <c r="B665" t="inlineStr">
        <is>
          <t>2026-10-13</t>
        </is>
      </c>
      <c r="C665" t="inlineStr">
        <is>
          <t>S&amp;P 500</t>
        </is>
      </c>
      <c r="D665" t="inlineStr">
        <is>
          <t>ES=F</t>
        </is>
      </c>
      <c r="E665" t="n">
        <v>7856</v>
      </c>
      <c r="F665" t="n">
        <v>7862.25</v>
      </c>
      <c r="G665" t="n">
        <v>7840</v>
      </c>
      <c r="H665" t="n">
        <v>7843.5</v>
      </c>
      <c r="I665" t="n">
        <v>48035</v>
      </c>
      <c r="J665" t="n">
        <v>4</v>
      </c>
      <c r="K665" t="n">
        <v>39</v>
      </c>
      <c r="L665" t="n">
        <v>0.026</v>
      </c>
      <c r="M665" t="n">
        <v>-0.012</v>
      </c>
      <c r="N665" t="n">
        <v>40</v>
      </c>
      <c r="O665" t="n">
        <v>0.284</v>
      </c>
      <c r="P665" t="n">
        <v>0.034</v>
      </c>
      <c r="Q665" t="n">
        <v>5.699</v>
      </c>
      <c r="R665" t="inlineStr">
        <is>
          <t>finbert</t>
        </is>
      </c>
      <c r="S665" t="inlineStr">
        <is>
          <t>IBRX Breaks Above This Key Resistance — Stock On Track To Record Best Single-Day Gains In 6 Months - Yahoo Finance</t>
        </is>
      </c>
      <c r="T6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65" t="inlineStr">
        <is>
          <t>S&amp;P 500 posts first close above 7,800, boosted by tech gains and cooler yields - CNBC</t>
        </is>
      </c>
      <c r="V66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65" t="inlineStr">
        <is>
          <t>Stock Market Today, Oct. 12: CCC Intelligent Solutions Surges 8% on Advanced Buyout Talks - The Motley Fool</t>
        </is>
      </c>
      <c r="X66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65" t="inlineStr">
        <is>
          <t>Dow Adds 52, Nasdaq Slides 345, S&amp;P 500 Falls 36 - TV News Check</t>
        </is>
      </c>
      <c r="Z66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5" t="inlineStr">
        <is>
          <t>S&amp;P 500 falls for third straight day - Fox Business</t>
        </is>
      </c>
      <c r="AB665" t="inlineStr">
        <is>
          <t>https://news.google.com/rss/articles/CBMiW0FVX3lxTE5mVGZhR2M2RXNUaW82ZXZfOGVwTjBCcVNaTXpZUFpSNXdKY1RIZENnWk9sLUMyOGNwSVNnRmRfTWJZeEZEOGVhQXd2a1VKdTA0SmhTM3cxQjZGWjQ?oc=5</t>
        </is>
      </c>
      <c r="AC665" t="inlineStr">
        <is>
          <t>USA Rare Earth Drops 6% With Milestone-Based Government Funding Still Ahead of It; MP Materials Falls 6%, Critical Metals Holds Steady - 24/7 Wall St.</t>
        </is>
      </c>
      <c r="AD665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</row>
    <row r="666">
      <c r="A666" t="inlineStr">
        <is>
          <t>2026-10-13T01:53:06+00:00</t>
        </is>
      </c>
      <c r="B666" t="inlineStr">
        <is>
          <t>2026-10-13</t>
        </is>
      </c>
      <c r="C666" t="inlineStr">
        <is>
          <t>Nasdaq</t>
        </is>
      </c>
      <c r="D666" t="inlineStr">
        <is>
          <t>NQ=F</t>
        </is>
      </c>
      <c r="E666" t="n">
        <v>30876</v>
      </c>
      <c r="F666" t="n">
        <v>30906</v>
      </c>
      <c r="G666" t="n">
        <v>30674.25</v>
      </c>
      <c r="H666" t="n">
        <v>30682.25</v>
      </c>
      <c r="I666" t="n">
        <v>42861</v>
      </c>
      <c r="J666" t="n">
        <v>4</v>
      </c>
      <c r="K666" t="n">
        <v>38</v>
      </c>
      <c r="L666" t="n">
        <v>-0.211</v>
      </c>
      <c r="M666" t="n">
        <v>-0.002</v>
      </c>
      <c r="N666" t="n">
        <v>36</v>
      </c>
      <c r="O666" t="n">
        <v>0.517</v>
      </c>
      <c r="P666" t="n">
        <v>-0.012</v>
      </c>
      <c r="Q666" t="n">
        <v>6.29</v>
      </c>
      <c r="R666" t="inlineStr">
        <is>
          <t>finbert</t>
        </is>
      </c>
      <c r="S666" t="inlineStr">
        <is>
          <t>Robinhood Technical Analysis: Will HOOD Break Out? - Robinhood Markets (NASDAQ:HOOD) - Benzinga</t>
        </is>
      </c>
      <c r="T66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6" t="inlineStr">
        <is>
          <t>Nasdaq analysis today at investingLive.com - TradingView</t>
        </is>
      </c>
      <c r="V66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6" t="inlineStr">
        <is>
          <t>US Market Update: Dow Rises 423 Points, Tech Stocks Surge - GuruFocus</t>
        </is>
      </c>
      <c r="X66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6" t="inlineStr">
        <is>
          <t>Nasdaq 100 breaks below Ichimoku cloud with MFI at 9: Live - Investing.com</t>
        </is>
      </c>
      <c r="Z66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A666" t="inlineStr">
        <is>
          <t>U.S. Stocks Close Mixed; Nasdaq Falls 0.44% - bloomingbit</t>
        </is>
      </c>
      <c r="AB666" t="inlineStr">
        <is>
          <t>https://news.google.com/rss/articles/CBMiVEFVX3lxTE1wN2psY1pleXRUYWlMR0ktU3VUU1Y1UzItZHpHWm90Z29ud3BxbVhFN2tSMm1qNkw1ZkJxSkRXZkt1UUt1bmYtVjdLUTlnZUpPc0dfTw?oc=5</t>
        </is>
      </c>
      <c r="AC666" t="inlineStr">
        <is>
          <t>Jensen Huang, Larry Ellison Lose Combined $15 Billion In A Day - Forbes</t>
        </is>
      </c>
      <c r="AD66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67">
      <c r="A667" t="inlineStr">
        <is>
          <t>2026-10-13T01:53:06+00:00</t>
        </is>
      </c>
      <c r="B667" t="inlineStr">
        <is>
          <t>2026-10-13</t>
        </is>
      </c>
      <c r="C667" t="inlineStr">
        <is>
          <t>Bitcoin</t>
        </is>
      </c>
      <c r="D667" t="inlineStr">
        <is>
          <t>BTC-USD</t>
        </is>
      </c>
      <c r="E667" t="n">
        <v>82470.1406</v>
      </c>
      <c r="F667" t="n">
        <v>82676.1406</v>
      </c>
      <c r="G667" t="n">
        <v>80959.99219999999</v>
      </c>
      <c r="H667" t="n">
        <v>82229.4375</v>
      </c>
      <c r="I667" t="n">
        <v>6337013760</v>
      </c>
      <c r="J667" t="n">
        <v>4</v>
      </c>
      <c r="K667" t="n">
        <v>40</v>
      </c>
      <c r="L667" t="n">
        <v>0.355</v>
      </c>
      <c r="M667" t="n">
        <v>-0.013</v>
      </c>
      <c r="N667" t="n">
        <v>38</v>
      </c>
      <c r="O667" t="n">
        <v>0.581</v>
      </c>
      <c r="P667" t="n">
        <v>-0.176</v>
      </c>
      <c r="Q667" t="n">
        <v>19.135</v>
      </c>
      <c r="R667" t="inlineStr">
        <is>
          <t>finbert</t>
        </is>
      </c>
      <c r="S667" t="inlineStr">
        <is>
          <t>Bitcoin surges 22% for the week as investor optimism floods back - CNBC</t>
        </is>
      </c>
      <c r="T6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7" t="inlineStr">
        <is>
          <t>Stacks (STX) Surges 9.7% in 3 Hours on Bitcoin Staking News - CoinMarketCap</t>
        </is>
      </c>
      <c r="V66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67" t="inlineStr">
        <is>
          <t>Bitcoin surges 5% to top $80,000 as investors look past Clarity Act's failure - Yahoo Finance</t>
        </is>
      </c>
      <c r="X66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7" t="inlineStr">
        <is>
          <t>Bitcoin’s $84K-$85K wall: The largest distribution zone to watch - AMBCrypto</t>
        </is>
      </c>
      <c r="Z667" t="inlineStr">
        <is>
          <t>https://news.google.com/rss/articles/CBMiiwFBVV95cUxPT25HcFFsWWNadmtSMU5GdHc4ejVMcnFtbkdqc21MV2JjaDROSjhvZTJBS05rRGdUYkhmVXk4akROMWNfd2E3RHEySmFEOGQyWHpNMTJCWlRRZ2UwRHU5QmZwSm1ZZ2QyWUFZR0dvLTdCZkRUYjZCMWlTSEs2em9pOFVEQ2xsWjhjbzI0?oc=5</t>
        </is>
      </c>
      <c r="AA667" t="inlineStr">
        <is>
          <t>Bitcoin and Ethereum ETFs Reverse Course With $1.22 Billion in Weekly Outflows - Bitcoin Foundation</t>
        </is>
      </c>
      <c r="AB667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C667" t="inlineStr">
        <is>
          <t>On the Chain: Bitcoin rebounds towards US$84,000 as ETF selling eases and geopolitical fears cool - Proactive financial news</t>
        </is>
      </c>
      <c r="AD667" t="inlineStr">
        <is>
          <t>https://news.google.com/rss/articles/CBMi-wFBVV95cUxPU2JYenlhV1hsbF9kUkRyU01uRklXbjJTNkZvVHV1TVZpY3M2M21DemZ4SVRoeDdMQkZJdVdOM0dWaGlkd0lGcTNxcjBwNXozSzVfcUZudWJqMWhxOFgyZG0wb1F6SXJrMUt6MlZqZVIweWxZU1ZmN003eDl4X3BMeEs4TEptQWpOVHJxVzVOSXFySy1SSW1pZTQyUHRMYmJGblBjV2hVTC1RZjRETHBxU1RYNTJrdjNkYU9vTmh0LUxhek1nOXA3TUJpQ2JDcENmNmE2RXN4OHZURFRCQ0g1NDRFWWRjYjVpLXBidEVBaEZRR3M5QmF0dWU3NA?oc=5</t>
        </is>
      </c>
    </row>
    <row r="668">
      <c r="A668" t="inlineStr">
        <is>
          <t>2026-10-13T11:30:02+00:00</t>
        </is>
      </c>
      <c r="B668" t="inlineStr">
        <is>
          <t>2026-10-13</t>
        </is>
      </c>
      <c r="C668" t="inlineStr">
        <is>
          <t>Gold</t>
        </is>
      </c>
      <c r="D668" t="inlineStr">
        <is>
          <t>GCZ26.CMX</t>
        </is>
      </c>
      <c r="E668" t="n">
        <v>4211.6001</v>
      </c>
      <c r="F668" t="n">
        <v>4217.8999</v>
      </c>
      <c r="G668" t="n">
        <v>4203.6001</v>
      </c>
      <c r="H668" t="n">
        <v>4207.7002</v>
      </c>
      <c r="I668" t="n">
        <v>11548</v>
      </c>
      <c r="J668" t="n">
        <v>4</v>
      </c>
      <c r="K668" t="n">
        <v>40</v>
      </c>
      <c r="L668" t="n">
        <v>0.013</v>
      </c>
      <c r="M668" t="n">
        <v>-0.026</v>
      </c>
      <c r="N668" t="n">
        <v>40</v>
      </c>
      <c r="O668" t="n">
        <v>0.039</v>
      </c>
      <c r="P668" t="n">
        <v>0.011</v>
      </c>
      <c r="Q668" t="n">
        <v>1.036</v>
      </c>
      <c r="R668" t="inlineStr">
        <is>
          <t>finbert</t>
        </is>
      </c>
      <c r="S668" t="inlineStr">
        <is>
          <t>Gold hits record above $5,100 as geopolitics drive safe‑haven rush - Reuters</t>
        </is>
      </c>
      <c r="T66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8" t="inlineStr">
        <is>
          <t>Silver hits record high above $100/oz as gold closes in on $5,000 milestone - CNBC</t>
        </is>
      </c>
      <c r="V66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8" t="inlineStr">
        <is>
          <t>China’s central bank buys 21 tonnes of gold in September, largest monthly purchase in 3 years - Kitco</t>
        </is>
      </c>
      <c r="X66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8" t="inlineStr">
        <is>
          <t>Gold Breaks Down on Descending Triangle, Sets Up $4k Test - FOREX.com</t>
        </is>
      </c>
      <c r="Z66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8" t="inlineStr">
        <is>
          <t>Gold market sees positive ETF inflows in July, ending two months of outflows - Kitco</t>
        </is>
      </c>
      <c r="AB6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8" t="inlineStr">
        <is>
          <t>Gold ETF Inflows Jump 71% MoM To Rs 4,451 Crore In September; More Details Inside - NDTV Profit</t>
        </is>
      </c>
      <c r="AD668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9">
      <c r="A669" t="inlineStr">
        <is>
          <t>2026-10-13T11:30:02+00:00</t>
        </is>
      </c>
      <c r="B669" t="inlineStr">
        <is>
          <t>2026-10-13</t>
        </is>
      </c>
      <c r="C669" t="inlineStr">
        <is>
          <t>Oil</t>
        </is>
      </c>
      <c r="D669" t="inlineStr">
        <is>
          <t>CL=F</t>
        </is>
      </c>
      <c r="E669" t="n">
        <v>92.09</v>
      </c>
      <c r="F669" t="n">
        <v>92.27</v>
      </c>
      <c r="G669" t="n">
        <v>91.7</v>
      </c>
      <c r="H669" t="n">
        <v>91.95999999999999</v>
      </c>
      <c r="I669" t="n">
        <v>20947</v>
      </c>
      <c r="J669" t="n">
        <v>4</v>
      </c>
      <c r="K669" t="n">
        <v>40</v>
      </c>
      <c r="L669" t="n">
        <v>0.028</v>
      </c>
      <c r="M669" t="n">
        <v>-0.321</v>
      </c>
      <c r="N669" t="n">
        <v>40</v>
      </c>
      <c r="O669" t="n">
        <v>0.2</v>
      </c>
      <c r="P669" t="n">
        <v>-0.137</v>
      </c>
      <c r="Q669" t="n">
        <v>4.569</v>
      </c>
      <c r="R669" t="inlineStr">
        <is>
          <t>finbert</t>
        </is>
      </c>
      <c r="S669" t="inlineStr">
        <is>
          <t>Oil surges 6%, Brent and US crude both surpass $100 on more tanker attacks - Reuters</t>
        </is>
      </c>
      <c r="T6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69" t="inlineStr">
        <is>
          <t>MPOB Monthly Report Imminent: Malaysia's Palm Oil Stockpiles May Surge Past 2.6 Million Tonnes as Strong El Niño Fuels Distant-Month Supply Cut Expectations - BigGo Finance</t>
        </is>
      </c>
      <c r="V66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69" t="inlineStr">
        <is>
          <t>Current price of oil as of August 17, 2026 - Fortune</t>
        </is>
      </c>
      <c r="X669" t="inlineStr">
        <is>
          <t>https://news.google.com/rss/articles/CBMiYkFVX3lxTE5fSXp3bHBkaFNMQi1VVDJLRnVSZEQ4bkVYaFB4UUhYZjR5S0JLS3lWcm12X0cwZ2NndlpTMG5lLWJZSUpscFVIclBwcFloaGh1ZnZ3VVVib2w2Wld6WkpsaFZB?oc=5</t>
        </is>
      </c>
      <c r="Y669" t="inlineStr">
        <is>
          <t>Crude Oil WTI breaks 200MA support at $88: Live levels By Investing.com - Investing.com South Africa</t>
        </is>
      </c>
      <c r="Z66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9" t="inlineStr">
        <is>
          <t>Current price of oil as of October 12, 2026 - Fortune</t>
        </is>
      </c>
      <c r="AB669" t="inlineStr">
        <is>
          <t>https://news.google.com/rss/articles/CBMiYkFVX3lxTFBBUnpTblBFMXR5ZElCU3hWS0M0cjRhZ3lKY2JnV0t1dzc4cy1OTDlQX0RReDk4ZTU2bjVYeURQbHVBdmtTX0k3QzhzVnl5RU1QalNiTkgzMGtVM1RMYXBqN0VR?oc=5</t>
        </is>
      </c>
      <c r="AC669" t="inlineStr">
        <is>
          <t>Natural Gas and Oil Forecast: WTI Tests $91.40, Can Brent Break $106 and NG Reach $3.35? - FXEmpire</t>
        </is>
      </c>
      <c r="AD66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70">
      <c r="A670" t="inlineStr">
        <is>
          <t>2026-10-13T11:30:02+00:00</t>
        </is>
      </c>
      <c r="B670" t="inlineStr">
        <is>
          <t>2026-10-13</t>
        </is>
      </c>
      <c r="C670" t="inlineStr">
        <is>
          <t>US Dollar</t>
        </is>
      </c>
      <c r="D670" t="inlineStr">
        <is>
          <t>DX-Y.NYB</t>
        </is>
      </c>
      <c r="E670" t="n">
        <v>102.312</v>
      </c>
      <c r="F670" t="n">
        <v>102.371</v>
      </c>
      <c r="G670" t="n">
        <v>102.257</v>
      </c>
      <c r="H670" t="n">
        <v>102.29</v>
      </c>
      <c r="I670" t="n">
        <v>0</v>
      </c>
      <c r="J670" t="n">
        <v>4</v>
      </c>
      <c r="K670" t="n">
        <v>40</v>
      </c>
      <c r="L670" t="n">
        <v>-0.196</v>
      </c>
      <c r="M670" t="n">
        <v>0.018</v>
      </c>
      <c r="N670" t="n">
        <v>40</v>
      </c>
      <c r="O670" t="n">
        <v>0.222</v>
      </c>
      <c r="P670" t="n">
        <v>-0.038</v>
      </c>
      <c r="Q670" t="n">
        <v>0.519</v>
      </c>
      <c r="R670" t="inlineStr">
        <is>
          <t>finbert</t>
        </is>
      </c>
      <c r="S670" t="inlineStr">
        <is>
          <t>Gold futures extend gains as safe-haven demand picks up. - CME Group</t>
        </is>
      </c>
      <c r="T67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0" t="inlineStr">
        <is>
          <t>US Dollar strengthens as Fed rate hike fears grow - MarketPulse</t>
        </is>
      </c>
      <c r="V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70" t="inlineStr">
        <is>
          <t>Dollar Gains Amid Hawkish Fed Commentary and Rising Geopolitical Tensions - Investing.com</t>
        </is>
      </c>
      <c r="X670" t="inlineStr">
        <is>
          <t>https://news.google.com/rss/articles/CBMiugFBVV95cUxOSVBqRlZBd3NTaEVVdkpEN2x2RVFSNzNKUE1kb3dHNWlxTG5vcGZsVlk2UDFCYU5IeXBOVlZhd3J2YVRpTTBVZV9tQll6eFBXc0dObXlZSE5MTy1FTGkyYVBtbEtpYXcyYV8wOW1SRjlkSUJtbmctVjJON3FPVEw2eF92dGo1bC1IQTZILS03THFBYS00aEQtV3VYeF96ejVxYl94cmpCRjkxUzNtTEF3WTJZZkxnUWFIUnc?oc=5</t>
        </is>
      </c>
      <c r="Y670" t="inlineStr">
        <is>
          <t>A hawkish Fed and a dovish SNB are driving gains in USDCHF - marketpulse.com</t>
        </is>
      </c>
      <c r="Z6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0" t="inlineStr">
        <is>
          <t>US Dollar strengthens as Fed rate hike fears grow - MarketPulse</t>
        </is>
      </c>
      <c r="AB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0" t="inlineStr">
        <is>
          <t>Dollar Index Falls on Tuesday - TradingView</t>
        </is>
      </c>
      <c r="AD67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1">
      <c r="A671" t="inlineStr">
        <is>
          <t>2026-10-13T11:30:02+00:00</t>
        </is>
      </c>
      <c r="B671" t="inlineStr">
        <is>
          <t>2026-10-13</t>
        </is>
      </c>
      <c r="C671" t="inlineStr">
        <is>
          <t>S&amp;P 500</t>
        </is>
      </c>
      <c r="D671" t="inlineStr">
        <is>
          <t>ES=F</t>
        </is>
      </c>
      <c r="E671" t="n">
        <v>7854.25</v>
      </c>
      <c r="F671" t="n">
        <v>7864</v>
      </c>
      <c r="G671" t="n">
        <v>7845.5</v>
      </c>
      <c r="H671" t="n">
        <v>7851</v>
      </c>
      <c r="I671" t="n">
        <v>55643</v>
      </c>
      <c r="J671" t="n">
        <v>4</v>
      </c>
      <c r="K671" t="n">
        <v>39</v>
      </c>
      <c r="L671" t="n">
        <v>-0.125</v>
      </c>
      <c r="M671" t="n">
        <v>0.008999999999999999</v>
      </c>
      <c r="N671" t="n">
        <v>40</v>
      </c>
      <c r="O671" t="n">
        <v>0.32</v>
      </c>
      <c r="P671" t="n">
        <v>-0.047</v>
      </c>
      <c r="Q671" t="n">
        <v>3.451</v>
      </c>
      <c r="R671" t="inlineStr">
        <is>
          <t>finbert</t>
        </is>
      </c>
      <c r="S671" t="inlineStr">
        <is>
          <t>IBRX Breaks Above This Key Resistance — Stock On Track To Record Best Single-Day Gains In 6 Months - Yahoo Finance</t>
        </is>
      </c>
      <c r="T6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1" t="inlineStr">
        <is>
          <t>S&amp;P 500 posts first close above 7,800, boosted by tech gains and cooler yields - CNBC</t>
        </is>
      </c>
      <c r="V67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1" t="inlineStr">
        <is>
          <t>Stock Market Today, Oct. 12: CCC Intelligent Solutions Surges 8% on Advanced Buyout Talks - The Motley Fool</t>
        </is>
      </c>
      <c r="X67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1" t="inlineStr">
        <is>
          <t>Dow Adds 52, Nasdaq Slides 345, S&amp;P 500 Falls 36 - TV News Check</t>
        </is>
      </c>
      <c r="Z67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71" t="inlineStr">
        <is>
          <t>USA Rare Earth Drops 6% With Milestone-Based Government Funding Still Ahead of It; MP Materials Falls 6%, Critical Metals Holds Steady - 24/7 Wall St.</t>
        </is>
      </c>
      <c r="AB671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  <c r="AC671" t="inlineStr">
        <is>
          <t>Darden Stock Breaks $207.25 as Earnings Week Puts $202.75 Support in Focus - TradingKey</t>
        </is>
      </c>
      <c r="AD67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672">
      <c r="A672" t="inlineStr">
        <is>
          <t>2026-10-13T11:30:02+00:00</t>
        </is>
      </c>
      <c r="B672" t="inlineStr">
        <is>
          <t>2026-10-13</t>
        </is>
      </c>
      <c r="C672" t="inlineStr">
        <is>
          <t>Nasdaq</t>
        </is>
      </c>
      <c r="D672" t="inlineStr">
        <is>
          <t>NQ=F</t>
        </is>
      </c>
      <c r="E672" t="n">
        <v>30701.5</v>
      </c>
      <c r="F672" t="n">
        <v>30773.5</v>
      </c>
      <c r="G672" t="n">
        <v>30654.5</v>
      </c>
      <c r="H672" t="n">
        <v>30676.5</v>
      </c>
      <c r="I672" t="n">
        <v>24768</v>
      </c>
      <c r="J672" t="n">
        <v>4</v>
      </c>
      <c r="K672" t="n">
        <v>37</v>
      </c>
      <c r="L672" t="n">
        <v>-0.223</v>
      </c>
      <c r="M672" t="n">
        <v>0.018</v>
      </c>
      <c r="N672" t="n">
        <v>37</v>
      </c>
      <c r="O672" t="n">
        <v>0.475</v>
      </c>
      <c r="P672" t="n">
        <v>-0.031</v>
      </c>
      <c r="Q672" t="n">
        <v>4.65</v>
      </c>
      <c r="R672" t="inlineStr">
        <is>
          <t>finbert</t>
        </is>
      </c>
      <c r="S672" t="inlineStr">
        <is>
          <t>Key facts: NASDAQ:PLTR to Supply Regna AI; Shares Reach Record High - TradingView</t>
        </is>
      </c>
      <c r="T672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U672" t="inlineStr">
        <is>
          <t>Nasdaq analysis today at investingLive.com - TradingView</t>
        </is>
      </c>
      <c r="V67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72" t="inlineStr">
        <is>
          <t>US Market Update: Dow Rises 423 Points, Tech Stocks Surge - GuruFocus</t>
        </is>
      </c>
      <c r="X67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72" t="inlineStr">
        <is>
          <t>Micron, SoftBank and ASML slide as Wall Street chip rout spreads - CNBC</t>
        </is>
      </c>
      <c r="Z67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A672" t="inlineStr">
        <is>
          <t>Nasdaq 100 breaks below Ichimoku cloud at 30,850: Live levels By Investing.com - Investing.com India</t>
        </is>
      </c>
      <c r="AB672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C672" t="inlineStr">
        <is>
          <t>Nasdaq futures slide amid chip selloff; Q3 earnings, inflation data loom - Yahoo Finance Australia</t>
        </is>
      </c>
      <c r="AD672" t="inlineStr">
        <is>
          <t>https://news.google.com/rss/articles/CBMihgFBVV95cUxQTWxNVDZKTzhTTEFjWFAxRFI2LWlMR1h2Tm5JOXhCVjhFQVhIckVJN1hMd29lTnFsS0Iyei1GVUNVUVVRSnBWU1dJX2czYmI2QWV5dnlhbXY1Q3JuTzA3ZjRNSmZabnNfR2hwU2ktMjg0bXE2R21hQjVrNHh1SERROXFNTVZpUQ?oc=5</t>
        </is>
      </c>
    </row>
    <row r="673">
      <c r="A673" t="inlineStr">
        <is>
          <t>2026-10-13T11:30:02+00:00</t>
        </is>
      </c>
      <c r="B673" t="inlineStr">
        <is>
          <t>2026-10-13</t>
        </is>
      </c>
      <c r="C673" t="inlineStr">
        <is>
          <t>Bitcoin</t>
        </is>
      </c>
      <c r="D673" t="inlineStr">
        <is>
          <t>BTC-USD</t>
        </is>
      </c>
      <c r="E673" t="n">
        <v>83774.50780000001</v>
      </c>
      <c r="F673" t="n">
        <v>84067.6875</v>
      </c>
      <c r="G673" t="n">
        <v>83042.5469</v>
      </c>
      <c r="H673" t="n">
        <v>83423.07030000001</v>
      </c>
      <c r="I673" t="n">
        <v>3858022400</v>
      </c>
      <c r="J673" t="n">
        <v>4</v>
      </c>
      <c r="K673" t="n">
        <v>39</v>
      </c>
      <c r="L673" t="n">
        <v>0.164</v>
      </c>
      <c r="M673" t="n">
        <v>0.015</v>
      </c>
      <c r="N673" t="n">
        <v>35</v>
      </c>
      <c r="O673" t="n">
        <v>0.387</v>
      </c>
      <c r="P673" t="n">
        <v>-0.143</v>
      </c>
      <c r="Q673" t="n">
        <v>11.984</v>
      </c>
      <c r="R673" t="inlineStr">
        <is>
          <t>finbert</t>
        </is>
      </c>
      <c r="S673" t="inlineStr">
        <is>
          <t>Bitcoin surges 22% for the week as investor optimism floods back - CNBC</t>
        </is>
      </c>
      <c r="T6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73" t="inlineStr">
        <is>
          <t>Stacks (STX) Surges 9.7% in 3 Hours on Bitcoin Staking News - CoinMarketCap</t>
        </is>
      </c>
      <c r="V67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73" t="inlineStr">
        <is>
          <t>Bitcoin surges 5% to top $80,000 as investors look past Clarity Act's failure - Yahoo Finance</t>
        </is>
      </c>
      <c r="X673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73" t="inlineStr">
        <is>
          <t>Bitcoin rebounds above $83,000 despite tech sto... - Pluang</t>
        </is>
      </c>
      <c r="Z673" t="inlineStr">
        <is>
          <t>https://news.google.com/rss/articles/CBMijwFBVV95cUxPVWNObTVBWFZzM21vS1IzaUlVN3Y1d1RfTmlxUkptVlZacmlaNzFiaEViWF8yRFFCdS1JLWVNSDVMZDBRNm9ZMWRsOW85czdOLXJaVlJ5WVlnNmtxdy1xWGFWR2tSb3hXZ1g3bUtuQVpSTjZoRm1VRmZyYXVvOFloNC1DWnBMUmNiazQ4TElTUQ?oc=5</t>
        </is>
      </c>
      <c r="AA673" t="inlineStr">
        <is>
          <t>Twenty-One of the Top 25 Coins Fell Last Week. One Rose, and It Was Not Bitcoin. - 24/7 Wall St.</t>
        </is>
      </c>
      <c r="AB673" t="inlineStr">
        <is>
          <t>https://news.google.com/rss/articles/CBMi0gFBVV95cUxQT1hGUFFFeUxFWW1rRkc2WE9pRWRFeWMyS08xQVhncjBiVWY5U1hseDctdkQ2MWtxMjd3MVI0cDJOZ2tSaWRhUFlGTk5iSFZ3X2xwbWVNUklBYThmY3R2elItTWV3bVJldExCN3ZJRjZURkN6b3AyM29YaUhYSllUdkd3U2hzZkQ4eW9EdXhfSlhJemtmeFotNmdTZGJVRlh5a0Frdk8wZ1JzNzdDNnlmWGRnd0o1eDJiWnpqeVNYRlZ0ZzZVYWlJQUpEZDd4aUdTWFE?oc=5</t>
        </is>
      </c>
      <c r="AC673" t="inlineStr">
        <is>
          <t>Crypto News | Bitcoin Reclaims $83K While KOSPI Crashes 6% and Altcoins Lag — CPI Wednesday Is the Decoupling’s First Real Test - Binance</t>
        </is>
      </c>
      <c r="AD673" t="inlineStr">
        <is>
          <t>https://news.google.com/rss/articles/CBMiZEFVX3lxTE9BUHllb09hbTlVdHI0c1h0RGxjYlhQaFdGZnJGUHZ1ejRmakRYM09sMDQtS0pTQTZzMzBETzBqSHdEZXRMREJIUEZVaE00Mm1WZGZvU1JnZ08zNkItdURYZFpLMEc?oc=5</t>
        </is>
      </c>
    </row>
    <row r="674">
      <c r="A674" t="inlineStr">
        <is>
          <t>2026-10-13T19:00:03+00:00</t>
        </is>
      </c>
      <c r="B674" t="inlineStr">
        <is>
          <t>2026-10-13</t>
        </is>
      </c>
      <c r="C674" t="inlineStr">
        <is>
          <t>Gold</t>
        </is>
      </c>
      <c r="D674" t="inlineStr">
        <is>
          <t>GCZ26.CMX</t>
        </is>
      </c>
      <c r="E674" t="n">
        <v>4190.3999</v>
      </c>
      <c r="F674" t="n">
        <v>4192</v>
      </c>
      <c r="G674" t="n">
        <v>4169.7002</v>
      </c>
      <c r="H674" t="n">
        <v>4187</v>
      </c>
      <c r="I674" t="n">
        <v>29544</v>
      </c>
      <c r="J674" t="n">
        <v>4</v>
      </c>
      <c r="K674" t="n">
        <v>40</v>
      </c>
      <c r="L674" t="n">
        <v>0.018</v>
      </c>
      <c r="M674" t="n">
        <v>-0.02</v>
      </c>
      <c r="N674" t="n">
        <v>40</v>
      </c>
      <c r="O674" t="n">
        <v>0.11</v>
      </c>
      <c r="P674" t="n">
        <v>0.003</v>
      </c>
      <c r="Q674" t="n">
        <v>2.574</v>
      </c>
      <c r="R674" t="inlineStr">
        <is>
          <t>finbert</t>
        </is>
      </c>
      <c r="S674" t="inlineStr">
        <is>
          <t>Gold hits record above $5,100 as geopolitics drive safe‑haven rush - Reuters</t>
        </is>
      </c>
      <c r="T67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74" t="inlineStr">
        <is>
          <t>Kazakhstan Central Bank to Sell Gold in 2026, Targeting 75% Reserve Share - News and Statistics - IndexBox</t>
        </is>
      </c>
      <c r="V674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74" t="inlineStr">
        <is>
          <t>Silver hits record high above $100/oz as gold closes in on $5,000 milestone - CNBC</t>
        </is>
      </c>
      <c r="X67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74" t="inlineStr">
        <is>
          <t>Gold Breaks Down on Descending Triangle, Sets Up $4k Test - FOREX.com</t>
        </is>
      </c>
      <c r="Z67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74" t="inlineStr">
        <is>
          <t>Gold market sees positive ETF inflows in July, ending two months of outflows - Kitco</t>
        </is>
      </c>
      <c r="AB6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74" t="inlineStr">
        <is>
          <t>Weekly ETFs: All 11 sectors record inflows; Gold leads outflows - TradingView</t>
        </is>
      </c>
      <c r="AD67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75">
      <c r="A675" t="inlineStr">
        <is>
          <t>2026-10-13T19:00:03+00:00</t>
        </is>
      </c>
      <c r="B675" t="inlineStr">
        <is>
          <t>2026-10-13</t>
        </is>
      </c>
      <c r="C675" t="inlineStr">
        <is>
          <t>Oil</t>
        </is>
      </c>
      <c r="D675" t="inlineStr">
        <is>
          <t>CL=F</t>
        </is>
      </c>
      <c r="E675" t="n">
        <v>93.90000000000001</v>
      </c>
      <c r="F675" t="n">
        <v>94.7</v>
      </c>
      <c r="G675" t="n">
        <v>93.72</v>
      </c>
      <c r="H675" t="n">
        <v>94.2</v>
      </c>
      <c r="I675" t="n">
        <v>93056</v>
      </c>
      <c r="J675" t="n">
        <v>4</v>
      </c>
      <c r="K675" t="n">
        <v>40</v>
      </c>
      <c r="L675" t="n">
        <v>-0.001</v>
      </c>
      <c r="M675" t="n">
        <v>-0.275</v>
      </c>
      <c r="N675" t="n">
        <v>40</v>
      </c>
      <c r="O675" t="n">
        <v>0.143</v>
      </c>
      <c r="P675" t="n">
        <v>-0.118</v>
      </c>
      <c r="Q675" t="n">
        <v>2.837</v>
      </c>
      <c r="R675" t="inlineStr">
        <is>
          <t>finbert</t>
        </is>
      </c>
      <c r="S675" t="inlineStr">
        <is>
          <t>Oil surges 6%, Brent and US crude both surpass $100 on more tanker attacks - Reuters</t>
        </is>
      </c>
      <c r="T6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75" t="inlineStr">
        <is>
          <t>MPOB Monthly Report Imminent: Malaysia's Palm Oil Stockpiles May Surge Past 2.6 Million Tonnes as Strong El Niño Fuels Distant-Month Supply Cut Expectations - BigGo Finance</t>
        </is>
      </c>
      <c r="V67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75" t="inlineStr">
        <is>
          <t>OPEC eyes oil demand rebound in 2027 - Oil &amp; Gas 360</t>
        </is>
      </c>
      <c r="X675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75" t="inlineStr">
        <is>
          <t>Saudi Arabia leads OPEC+ production increase: September crude oil daily output rises by 900,000 barrels month-on-month - 富途牛牛</t>
        </is>
      </c>
      <c r="Z67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75" t="inlineStr">
        <is>
          <t>Crude Oil WTI breaks 200MA support at $88: Live levels By Investing.com - Investing.com South Africa</t>
        </is>
      </c>
      <c r="AB67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75" t="inlineStr">
        <is>
          <t>Current price of oil as of October 12, 2026 - Fortune</t>
        </is>
      </c>
      <c r="AD675" t="inlineStr">
        <is>
          <t>https://news.google.com/rss/articles/CBMiYkFVX3lxTFBBUnpTblBFMXR5ZElCU3hWS0M0cjRhZ3lKY2JnV0t1dzc4cy1OTDlQX0RReDk4ZTU2bjVYeURQbHVBdmtTX0k3QzhzVnl5RU1QalNiTkgzMGtVM1RMYXBqN0VR?oc=5</t>
        </is>
      </c>
    </row>
    <row r="676">
      <c r="A676" t="inlineStr">
        <is>
          <t>2026-10-13T19:00:03+00:00</t>
        </is>
      </c>
      <c r="B676" t="inlineStr">
        <is>
          <t>2026-10-13</t>
        </is>
      </c>
      <c r="C676" t="inlineStr">
        <is>
          <t>US Dollar</t>
        </is>
      </c>
      <c r="D676" t="inlineStr">
        <is>
          <t>DX-Y.NYB</t>
        </is>
      </c>
      <c r="E676" t="n">
        <v>102.237</v>
      </c>
      <c r="F676" t="n">
        <v>102.305</v>
      </c>
      <c r="G676" t="n">
        <v>102.162</v>
      </c>
      <c r="H676" t="n">
        <v>102.163</v>
      </c>
      <c r="I676" t="n">
        <v>0</v>
      </c>
      <c r="J676" t="n">
        <v>4</v>
      </c>
      <c r="K676" t="n">
        <v>40</v>
      </c>
      <c r="L676" t="n">
        <v>-0.251</v>
      </c>
      <c r="M676" t="n">
        <v>0.03</v>
      </c>
      <c r="N676" t="n">
        <v>40</v>
      </c>
      <c r="O676" t="n">
        <v>0.253</v>
      </c>
      <c r="P676" t="n">
        <v>-0.015</v>
      </c>
      <c r="Q676" t="n">
        <v>0.041</v>
      </c>
      <c r="R676" t="inlineStr">
        <is>
          <t>finbert</t>
        </is>
      </c>
      <c r="S676" t="inlineStr">
        <is>
          <t>Gold futures extend gains as safe-haven demand picks up. - CME Group</t>
        </is>
      </c>
      <c r="T67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6" t="inlineStr">
        <is>
          <t>Dollar Strength Builds: ETFs to Ride the Greenback Rally - TradingView</t>
        </is>
      </c>
      <c r="V676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76" t="inlineStr">
        <is>
          <t>US Dollar strengthens as Fed rate hike fears grow - MarketPulse</t>
        </is>
      </c>
      <c r="X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76" t="inlineStr">
        <is>
          <t>A hawkish Fed and a dovish SNB are driving gains in USDCHF - marketpulse.com</t>
        </is>
      </c>
      <c r="Z6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6" t="inlineStr">
        <is>
          <t>US Dollar strengthens as Fed rate hike fears grow - MarketPulse</t>
        </is>
      </c>
      <c r="AB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6" t="inlineStr">
        <is>
          <t>Dollar Index Falls on Tuesday - TradingView</t>
        </is>
      </c>
      <c r="AD67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7">
      <c r="A677" t="inlineStr">
        <is>
          <t>2026-10-13T19:00:03+00:00</t>
        </is>
      </c>
      <c r="B677" t="inlineStr">
        <is>
          <t>2026-10-13</t>
        </is>
      </c>
      <c r="C677" t="inlineStr">
        <is>
          <t>S&amp;P 500</t>
        </is>
      </c>
      <c r="D677" t="inlineStr">
        <is>
          <t>ES=F</t>
        </is>
      </c>
      <c r="E677" t="n">
        <v>7844</v>
      </c>
      <c r="F677" t="n">
        <v>7856.25</v>
      </c>
      <c r="G677" t="n">
        <v>7834.5</v>
      </c>
      <c r="H677" t="n">
        <v>7849.25</v>
      </c>
      <c r="I677" t="n">
        <v>406559</v>
      </c>
      <c r="J677" t="n">
        <v>4</v>
      </c>
      <c r="K677" t="n">
        <v>39</v>
      </c>
      <c r="L677" t="n">
        <v>-0.168</v>
      </c>
      <c r="M677" t="n">
        <v>0.013</v>
      </c>
      <c r="N677" t="n">
        <v>40</v>
      </c>
      <c r="O677" t="n">
        <v>0.388</v>
      </c>
      <c r="P677" t="n">
        <v>0.017</v>
      </c>
      <c r="Q677" t="n">
        <v>3.997</v>
      </c>
      <c r="R677" t="inlineStr">
        <is>
          <t>finbert</t>
        </is>
      </c>
      <c r="S677" t="inlineStr">
        <is>
          <t>IBRX Breaks Above This Key Resistance — Stock On Track To Record Best Single-Day Gains In 6 Months - Yahoo Finance</t>
        </is>
      </c>
      <c r="T6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7" t="inlineStr">
        <is>
          <t>S&amp;P 500 posts first close above 7,800, boosted by tech gains and cooler yields - CNBC</t>
        </is>
      </c>
      <c r="V67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7" t="inlineStr">
        <is>
          <t>Stock Market Today, Oct. 12: CCC Intelligent Solutions Surges 8% on Advanced Buyout Talks - The Motley Fool</t>
        </is>
      </c>
      <c r="X67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7" t="inlineStr">
        <is>
          <t>Strong profit reports from Goldman Sachs and others support Wall Street as chip stocks drop - KTVN</t>
        </is>
      </c>
      <c r="Z677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7" t="inlineStr">
        <is>
          <t>Dow Adds 52, Nasdaq Slides 345, S&amp;P 500 Falls 36 - TV News Check</t>
        </is>
      </c>
      <c r="AB67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77" t="inlineStr">
        <is>
          <t>Stock Market Today: Micron, Sandisk Fall on China Memory News - ChartMill</t>
        </is>
      </c>
      <c r="AD677" t="inlineStr">
        <is>
          <t>https://news.google.com/rss/articles/CBMiqwFBVV95cUxQa05wSElJS2owUnJBN2V2eV9rTDBIaFpOQTdfYzZyNk5EbFdFdmVLVkZ5bVFXbHJBc1MzQV9hQlBLdmtsWkw3WGdjZ2xMdVRydGVLd2swTVdsRmhEcjBUR1R3cWp3NHlnWk44VmVRWWUyQVVPdXUwb2ZPa081bk15aHVJTVV6M1pMbkQyblVENjlHT0l5M09Ga1dyNDFmcnBkQ0o5dEJ6SXBOSk0?oc=5</t>
        </is>
      </c>
    </row>
    <row r="678">
      <c r="A678" t="inlineStr">
        <is>
          <t>2026-10-13T19:00:03+00:00</t>
        </is>
      </c>
      <c r="B678" t="inlineStr">
        <is>
          <t>2026-10-13</t>
        </is>
      </c>
      <c r="C678" t="inlineStr">
        <is>
          <t>Nasdaq</t>
        </is>
      </c>
      <c r="D678" t="inlineStr">
        <is>
          <t>NQ=F</t>
        </is>
      </c>
      <c r="E678" t="n">
        <v>30705.25</v>
      </c>
      <c r="F678" t="n">
        <v>30808</v>
      </c>
      <c r="G678" t="n">
        <v>30635.5</v>
      </c>
      <c r="H678" t="n">
        <v>30729.75</v>
      </c>
      <c r="I678" t="n">
        <v>159571</v>
      </c>
      <c r="J678" t="n">
        <v>4</v>
      </c>
      <c r="K678" t="n">
        <v>37</v>
      </c>
      <c r="L678" t="n">
        <v>-0.177</v>
      </c>
      <c r="M678" t="n">
        <v>0.013</v>
      </c>
      <c r="N678" t="n">
        <v>37</v>
      </c>
      <c r="O678" t="n">
        <v>0.398</v>
      </c>
      <c r="P678" t="n">
        <v>0.031</v>
      </c>
      <c r="Q678" t="n">
        <v>4.094</v>
      </c>
      <c r="R678" t="inlineStr">
        <is>
          <t>finbert</t>
        </is>
      </c>
      <c r="S678" t="inlineStr">
        <is>
          <t>Taylor Devices: Record High $55.2 Million Backlog Before Earnings Recovery (NASDAQ:TAYD) - Seeking Alpha</t>
        </is>
      </c>
      <c r="T678" t="inlineStr">
        <is>
          <t>https://news.google.com/rss/articles/CBMiowFBVV95cUxQMHRaTW00Tmt1Ymx6c2thNlNZS09lUDRSbGc3d20zS2lVVF9sNzI5OUktdUQzekFzRUYyNDdYOEZYb2N5RklNNnpNS0VheUdIU2pGRWZvc1pZTlVKQjlvTDN3ZXc3WFd1RWVjY3cyRU11NVc1aDVRSHowWUdJT1c5VXJ4OG1LNDVVQTlhR3ZlZXVhQTVmS3pFOGxkVW9OZXZGQkRr?oc=5</t>
        </is>
      </c>
      <c r="U678" t="inlineStr">
        <is>
          <t>Robinhood Technical Analysis: Will HOOD Break Out? - Robinhood Markets (NASDAQ:HOOD) - Benzinga</t>
        </is>
      </c>
      <c r="V678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78" t="inlineStr">
        <is>
          <t>Key facts: NASDAQ:PLTR to Supply Regna AI; Shares Reach Record High - TradingView</t>
        </is>
      </c>
      <c r="X678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Y678" t="inlineStr">
        <is>
          <t>Strong profit reports from Goldman Sachs and others support Wall Street as chip stocks drop - KTVN</t>
        </is>
      </c>
      <c r="Z678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8" t="inlineStr">
        <is>
          <t>Nasdaq 100 breaks below Ichimoku cloud with MFI at 9: Live - Investing.com</t>
        </is>
      </c>
      <c r="AB67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678" t="inlineStr">
        <is>
          <t>Chaos in Korea's market is sending shockwaves through US chip stocks - Business Insider</t>
        </is>
      </c>
      <c r="AD678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79">
      <c r="A679" t="inlineStr">
        <is>
          <t>2026-10-13T19:00:03+00:00</t>
        </is>
      </c>
      <c r="B679" t="inlineStr">
        <is>
          <t>2026-10-13</t>
        </is>
      </c>
      <c r="C679" t="inlineStr">
        <is>
          <t>Bitcoin</t>
        </is>
      </c>
      <c r="D679" t="inlineStr">
        <is>
          <t>BTC-USD</t>
        </is>
      </c>
      <c r="E679" t="n">
        <v>83349.0625</v>
      </c>
      <c r="F679" t="n">
        <v>83534.61719999999</v>
      </c>
      <c r="G679" t="n">
        <v>82876.99219999999</v>
      </c>
      <c r="H679" t="n">
        <v>83127.99219999999</v>
      </c>
      <c r="I679" t="n">
        <v>2857947136</v>
      </c>
      <c r="J679" t="n">
        <v>4</v>
      </c>
      <c r="K679" t="n">
        <v>39</v>
      </c>
      <c r="L679" t="n">
        <v>0.196</v>
      </c>
      <c r="M679" t="n">
        <v>0.01</v>
      </c>
      <c r="N679" t="n">
        <v>35</v>
      </c>
      <c r="O679" t="n">
        <v>0.162</v>
      </c>
      <c r="P679" t="n">
        <v>-0.133</v>
      </c>
      <c r="Q679" t="n">
        <v>8.661</v>
      </c>
      <c r="R679" t="inlineStr">
        <is>
          <t>finbert</t>
        </is>
      </c>
      <c r="S679" t="inlineStr">
        <is>
          <t>Bitcoin Price: Stronger Than the Market, Altcoins Fall - CryptoTicker</t>
        </is>
      </c>
      <c r="T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U679" t="inlineStr">
        <is>
          <t>Bitcoin surges 22% for the week as investor optimism floods back - CNBC</t>
        </is>
      </c>
      <c r="V6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79" t="inlineStr">
        <is>
          <t>Stacks (STX) Surges 9.7% in 3 Hours on Bitcoin Staking News - CoinMarketCap</t>
        </is>
      </c>
      <c r="X67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679" t="inlineStr">
        <is>
          <t>Bitcoin Price: Stronger Than the Market, Altcoins Fall - CryptoTicker</t>
        </is>
      </c>
      <c r="Z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679" t="inlineStr">
        <is>
          <t>Bitcoin’s ‘V-Shape Recovery’ To $84K Gets A Boost From Spot Buyers, But ETF Investors Keep Selling - Stocktwits</t>
        </is>
      </c>
      <c r="AB679" t="inlineStr">
        <is>
          <t>https://news.google.com/rss/articles/CBMizwFBVV95cUxPVHJzSU9FMC1UNHZUdVZOQ1hxYm9SNVJJS2ctX1U0WWpPRUNuZkpCQWtuNzlFbGNhQzBCRDRTbVFlSWZ6Qnk0T042Y29sQThOSkxBelpMOFdKdU8xYW5xZVIzR3BBaFVMS1ZjZzZUdl80cWtnSXdrcU5tUlZQRWVmU3U2RGRWek9YSjRUXzl2SUlaRmxRZEJka1RWcGpXTmY0cDFOTjNGTF9hY3MxRGQwekc0TWhFT3hJckMtLXJNNlVCeWx5NU9iSl92a1hPYTQ?oc=5</t>
        </is>
      </c>
      <c r="AC679" t="inlineStr">
        <is>
          <t>News by Brave New Coin on TradingView, 2026-10-13 — bravenewcoin:0e8731ac7094b:0 - TradingView</t>
        </is>
      </c>
      <c r="AD679" t="inlineStr">
        <is>
          <t>https://news.google.com/rss/articles/CBMib0FVX3lxTE9nRGc0YTQyaThMNml5SjZWd0dYWEF1RjdyanQ2OFdITDVJRmNhdU1jTUo5ZFlnY3R2blk4N29WbzFKNVcyR3dJWVJoZHNaNkJEWmlqTTZvTXJXTklQbDZJSFpyRjZKc2p3bWd0TjVJWQ?oc=5</t>
        </is>
      </c>
    </row>
    <row r="680">
      <c r="A680" t="inlineStr">
        <is>
          <t>2026-10-13T23:39:22+00:00</t>
        </is>
      </c>
      <c r="B680" t="inlineStr">
        <is>
          <t>2026-10-13</t>
        </is>
      </c>
      <c r="C680" t="inlineStr">
        <is>
          <t>Gold</t>
        </is>
      </c>
      <c r="D680" t="inlineStr">
        <is>
          <t>GCZ26.CMX</t>
        </is>
      </c>
      <c r="E680" t="n">
        <v>4186.1001</v>
      </c>
      <c r="F680" t="n">
        <v>4186.8999</v>
      </c>
      <c r="G680" t="n">
        <v>4178.1001</v>
      </c>
      <c r="H680" t="n">
        <v>4179.2002</v>
      </c>
      <c r="I680" t="n">
        <v>4252</v>
      </c>
      <c r="J680" t="n">
        <v>4</v>
      </c>
      <c r="K680" t="n">
        <v>40</v>
      </c>
      <c r="L680" t="n">
        <v>0.083</v>
      </c>
      <c r="M680" t="n">
        <v>0.06900000000000001</v>
      </c>
      <c r="N680" t="n">
        <v>40</v>
      </c>
      <c r="O680" t="n">
        <v>0.181</v>
      </c>
      <c r="P680" t="n">
        <v>0.018</v>
      </c>
      <c r="Q680" t="n">
        <v>5.297</v>
      </c>
      <c r="R680" t="inlineStr">
        <is>
          <t>finbert</t>
        </is>
      </c>
      <c r="S680" t="inlineStr">
        <is>
          <t>Bdan Says Gold Prices Surge 18% in a Month as Safe-Haven Demand Grows - bloomingbit</t>
        </is>
      </c>
      <c r="T680" t="inlineStr">
        <is>
          <t>https://news.google.com/rss/articles/CBMiVEFVX3lxTFBfVzcxS1BOc0hZaWdoS3Y2blo1TXF3RDZmUmdTb29xOHpwOVRjVHFMeGtFVENPMXBISUt2clJGX1dFTzI5Q01aY0QyS0oyTUhtWE8tSA?oc=5</t>
        </is>
      </c>
      <c r="U680" t="inlineStr">
        <is>
          <t>Gold hits record above $5,100 as geopolitics drive safe‑haven rush - Reuters</t>
        </is>
      </c>
      <c r="V68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0" t="inlineStr">
        <is>
          <t>Kazakhstan Central Bank to Sell Gold in 2026, Targeting 75% Reserve Share - News and Statistics - IndexBox</t>
        </is>
      </c>
      <c r="X680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0" t="inlineStr">
        <is>
          <t>Gold Breaks Down on Descending Triangle, Sets Up $4k Test - FOREX.com</t>
        </is>
      </c>
      <c r="Z68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80" t="inlineStr">
        <is>
          <t>Gold market sees positive ETF inflows in July, ending two months of outflows - Kitco</t>
        </is>
      </c>
      <c r="AB6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80" t="inlineStr">
        <is>
          <t>Weekly ETFs: All 11 sectors record inflows; Gold leads outflows - TradingView</t>
        </is>
      </c>
      <c r="AD68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81">
      <c r="A681" t="inlineStr">
        <is>
          <t>2026-10-13T23:39:22+00:00</t>
        </is>
      </c>
      <c r="B681" t="inlineStr">
        <is>
          <t>2026-10-13</t>
        </is>
      </c>
      <c r="C681" t="inlineStr">
        <is>
          <t>Oil</t>
        </is>
      </c>
      <c r="D681" t="inlineStr">
        <is>
          <t>CL=F</t>
        </is>
      </c>
      <c r="E681" t="n">
        <v>94.22</v>
      </c>
      <c r="F681" t="n">
        <v>95.11</v>
      </c>
      <c r="G681" t="n">
        <v>94.17</v>
      </c>
      <c r="H681" t="n">
        <v>94.68000000000001</v>
      </c>
      <c r="I681" t="n">
        <v>14340</v>
      </c>
      <c r="J681" t="n">
        <v>4</v>
      </c>
      <c r="K681" t="n">
        <v>40</v>
      </c>
      <c r="L681" t="n">
        <v>0.033</v>
      </c>
      <c r="M681" t="n">
        <v>-0.24</v>
      </c>
      <c r="N681" t="n">
        <v>40</v>
      </c>
      <c r="O681" t="n">
        <v>0.174</v>
      </c>
      <c r="P681" t="n">
        <v>-0.119</v>
      </c>
      <c r="Q681" t="n">
        <v>4.151</v>
      </c>
      <c r="R681" t="inlineStr">
        <is>
          <t>finbert</t>
        </is>
      </c>
      <c r="S681" t="inlineStr">
        <is>
          <t>Oil surges 6%, Brent and US crude both surpass $100 on more tanker attacks - Reuters</t>
        </is>
      </c>
      <c r="T6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81" t="inlineStr">
        <is>
          <t>MPOB Monthly Report Imminent: Malaysia's Palm Oil Stockpiles May Surge Past 2.6 Million Tonnes as Strong El Niño Fuels Distant-Month Supply Cut Expectations - BigGo Finance</t>
        </is>
      </c>
      <c r="V68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81" t="inlineStr">
        <is>
          <t>OPEC eyes oil demand rebound in 2027 - Oil &amp; Gas 360</t>
        </is>
      </c>
      <c r="X681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81" t="inlineStr">
        <is>
          <t>OPEC crude production jumps 920,000 bpd in September - Azərtac</t>
        </is>
      </c>
      <c r="Z681" t="inlineStr">
        <is>
          <t>https://news.google.com/rss/articles/CBMikAFBVV95cUxOY1l5VHdQQ0ZNZThodExEN1UtbFlwc28td0swQ25RQTI3c1ZLOHMzbHJMQzhzRXdiQ1duM1hCdTJ1eEkxNDlZdTk4UFk1Y2N1QVYteEpQWEg3YW5CZXpvRnRKUElVeV8zZGxmcFlwZ3lPOEp6QjM5aGJfQnVmdUtqd3d5ZmE4S25lMjNqOEppOXc?oc=5</t>
        </is>
      </c>
      <c r="AA681" t="inlineStr">
        <is>
          <t>Saudi Arabia leads OPEC+ production increase: September crude oil daily output rises by 900,000 barrels month-on-month - 富途牛牛</t>
        </is>
      </c>
      <c r="AB6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681" t="inlineStr">
        <is>
          <t>Crude Oil WTI breaks 200MA support at $88: Live levels By Investing.com - Investing.com South Africa</t>
        </is>
      </c>
      <c r="AD68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682">
      <c r="A682" t="inlineStr">
        <is>
          <t>2026-10-13T23:39:22+00:00</t>
        </is>
      </c>
      <c r="B682" t="inlineStr">
        <is>
          <t>2026-10-13</t>
        </is>
      </c>
      <c r="C682" t="inlineStr">
        <is>
          <t>US Dollar</t>
        </is>
      </c>
      <c r="D682" t="inlineStr">
        <is>
          <t>DX-Y.NYB</t>
        </is>
      </c>
      <c r="E682" t="n">
        <v>102.18</v>
      </c>
      <c r="F682" t="n">
        <v>102.215</v>
      </c>
      <c r="G682" t="n">
        <v>102.174</v>
      </c>
      <c r="H682" t="n">
        <v>102.215</v>
      </c>
      <c r="I682" t="n">
        <v>0</v>
      </c>
      <c r="J682" t="n">
        <v>4</v>
      </c>
      <c r="K682" t="n">
        <v>40</v>
      </c>
      <c r="L682" t="n">
        <v>-0.299</v>
      </c>
      <c r="M682" t="n">
        <v>0.026</v>
      </c>
      <c r="N682" t="n">
        <v>40</v>
      </c>
      <c r="O682" t="n">
        <v>0.293</v>
      </c>
      <c r="P682" t="n">
        <v>-0.015</v>
      </c>
      <c r="Q682" t="n">
        <v>-0.111</v>
      </c>
      <c r="R682" t="inlineStr">
        <is>
          <t>finbert</t>
        </is>
      </c>
      <c r="S682" t="inlineStr">
        <is>
          <t>Gold futures extend gains as safe-haven demand picks up. - CME Group</t>
        </is>
      </c>
      <c r="T68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2" t="inlineStr">
        <is>
          <t>Dollar Strength Builds: ETFs to Ride the Greenback Rally - TradingView</t>
        </is>
      </c>
      <c r="V682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2" t="inlineStr">
        <is>
          <t>US Dollar strengthens as Fed rate hike fears grow - MarketPulse</t>
        </is>
      </c>
      <c r="X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2" t="inlineStr">
        <is>
          <t>A hawkish Fed and a dovish SNB are driving gains in USDCHF - marketpulse.com</t>
        </is>
      </c>
      <c r="Z68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82" t="inlineStr">
        <is>
          <t>US Dollar strengthens as Fed rate hike fears grow - MarketPulse</t>
        </is>
      </c>
      <c r="AB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82" t="inlineStr">
        <is>
          <t>Dollar Index Falls on Tuesday - TradingView</t>
        </is>
      </c>
      <c r="AD68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83">
      <c r="A683" t="inlineStr">
        <is>
          <t>2026-10-13T23:39:22+00:00</t>
        </is>
      </c>
      <c r="B683" t="inlineStr">
        <is>
          <t>2026-10-13</t>
        </is>
      </c>
      <c r="C683" t="inlineStr">
        <is>
          <t>S&amp;P 500</t>
        </is>
      </c>
      <c r="D683" t="inlineStr">
        <is>
          <t>ES=F</t>
        </is>
      </c>
      <c r="E683" t="n">
        <v>7852</v>
      </c>
      <c r="F683" t="n">
        <v>7861</v>
      </c>
      <c r="G683" t="n">
        <v>7850.5</v>
      </c>
      <c r="H683" t="n">
        <v>7853.25</v>
      </c>
      <c r="I683" t="n">
        <v>210789</v>
      </c>
      <c r="J683" t="n">
        <v>4</v>
      </c>
      <c r="K683" t="n">
        <v>39</v>
      </c>
      <c r="L683" t="n">
        <v>-0.193</v>
      </c>
      <c r="M683" t="n">
        <v>0.025</v>
      </c>
      <c r="N683" t="n">
        <v>40</v>
      </c>
      <c r="O683" t="n">
        <v>0.484</v>
      </c>
      <c r="P683" t="n">
        <v>0.005</v>
      </c>
      <c r="Q683" t="n">
        <v>5.42</v>
      </c>
      <c r="R683" t="inlineStr">
        <is>
          <t>finbert</t>
        </is>
      </c>
      <c r="S683" t="inlineStr">
        <is>
          <t>Stock Market Today, Oct. 12: CCC Intelligent Solutions Surges 8% on Advanced Buyout Talks - The Motley Fool</t>
        </is>
      </c>
      <c r="T68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U683" t="inlineStr">
        <is>
          <t>SNDK Stock Breaks Resistance as NAND Demand Strengthens SanDisk but Memory Risks Remain - FXLeaders</t>
        </is>
      </c>
      <c r="V68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W683" t="inlineStr">
        <is>
          <t>Mersen stock breaks through its 42 € resistance level and continues its upward surge - Idéal Investisseur</t>
        </is>
      </c>
      <c r="X683" t="inlineStr">
        <is>
          <t>https://news.google.com/rss/articles/CBMi3gFBVV95cUxOUE9pYVRNTkJqVU5YZkxVUnBrNFVEN2pKNjZMd2M0djFKcUViejJ6SUl4eWR0Z054VktrWnZFNEcxWjNWQ0xKNFZnR2VBVGpEMGtCRVJxZDAzZzAyUklyZ1o0Qi1nSkhqcXdKZUtjTVRCN0VwbjVzUlNCa3dHSVB3Y21EQURqUHBwN3lWb2xFc0dpbkZJVmRJRGNDVVlXS1lMODVOWTRIZXBfOFM1Z29rNEloeXJBdlM5TmV2MUZjWHJ4RDdqaVRoLXFYN19FWDRPWjljNHUyX1BvYzA1bUE?oc=5</t>
        </is>
      </c>
      <c r="Y683" t="inlineStr">
        <is>
          <t>Strong profit reports from Goldman Sachs and others support Wall Street as chip stocks drop - Washington Times</t>
        </is>
      </c>
      <c r="Z683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3" t="inlineStr">
        <is>
          <t>Dow Adds 52, Nasdaq Slides 345, S&amp;P 500 Falls 36 - TV News Check</t>
        </is>
      </c>
      <c r="AB68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3" t="inlineStr">
        <is>
          <t>Stock market today: Dow, S&amp;P 500, Nasdaq fall as earnings season kicks off - AOL.com</t>
        </is>
      </c>
      <c r="AD683" t="inlineStr">
        <is>
          <t>https://news.google.com/rss/articles/CBMid0FVX3lxTE9LZGEwOXF4TG90Nm53cGZWTDFXY3RGVTgtTTBMbHJyb283aWdBaFFNbWFyYmNVTGk4M1FjandsTjlpbnpESU9HZ2VJcUJlc3M3aUo0ekNQU2NjY19uT2FMUUVSMGdEMm5wM0QxQ09iazVqbVgtMDdB?oc=5</t>
        </is>
      </c>
    </row>
    <row r="684">
      <c r="A684" t="inlineStr">
        <is>
          <t>2026-10-13T23:39:22+00:00</t>
        </is>
      </c>
      <c r="B684" t="inlineStr">
        <is>
          <t>2026-10-13</t>
        </is>
      </c>
      <c r="C684" t="inlineStr">
        <is>
          <t>Nasdaq</t>
        </is>
      </c>
      <c r="D684" t="inlineStr">
        <is>
          <t>NQ=F</t>
        </is>
      </c>
      <c r="E684" t="n">
        <v>30738.25</v>
      </c>
      <c r="F684" t="n">
        <v>30827.5</v>
      </c>
      <c r="G684" t="n">
        <v>30734.25</v>
      </c>
      <c r="H684" t="n">
        <v>30766.75</v>
      </c>
      <c r="I684" t="n">
        <v>66198</v>
      </c>
      <c r="J684" t="n">
        <v>4</v>
      </c>
      <c r="K684" t="n">
        <v>37</v>
      </c>
      <c r="L684" t="n">
        <v>-0.058</v>
      </c>
      <c r="M684" t="n">
        <v>-0.01</v>
      </c>
      <c r="N684" t="n">
        <v>37</v>
      </c>
      <c r="O684" t="n">
        <v>0.474</v>
      </c>
      <c r="P684" t="n">
        <v>0.021</v>
      </c>
      <c r="Q684" t="n">
        <v>7.693</v>
      </c>
      <c r="R684" t="inlineStr">
        <is>
          <t>finbert</t>
        </is>
      </c>
      <c r="S684" t="inlineStr">
        <is>
          <t>What's behind the recovery rally in tech stocks — plus, Elon Musk's very good week - CNBC</t>
        </is>
      </c>
      <c r="T68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84" t="inlineStr">
        <is>
          <t>Nasdaq analysis today at investingLive.com - TradingView</t>
        </is>
      </c>
      <c r="V68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84" t="inlineStr">
        <is>
          <t>US Market Update: Dow Rises 423 Points, Tech Stocks Surge - GuruFocus</t>
        </is>
      </c>
      <c r="X684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84" t="inlineStr">
        <is>
          <t>Strong profit reports from Goldman Sachs and others support Wall Street as chip stocks drop - Washington Times</t>
        </is>
      </c>
      <c r="Z684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4" t="inlineStr">
        <is>
          <t>Micron sinks, other memory-linked names dip for a second day - CNBC</t>
        </is>
      </c>
      <c r="AB68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84" t="inlineStr">
        <is>
          <t>Chaos in Korea's market is sending shockwaves through US chip stocks - Business Insider</t>
        </is>
      </c>
      <c r="AD684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85">
      <c r="A685" t="inlineStr">
        <is>
          <t>2026-10-13T23:39:22+00:00</t>
        </is>
      </c>
      <c r="B685" t="inlineStr">
        <is>
          <t>2026-10-13</t>
        </is>
      </c>
      <c r="C685" t="inlineStr">
        <is>
          <t>Bitcoin</t>
        </is>
      </c>
      <c r="D685" t="inlineStr">
        <is>
          <t>BTC-USD</t>
        </is>
      </c>
      <c r="E685" t="n">
        <v>83208.0938</v>
      </c>
      <c r="F685" t="n">
        <v>83476.86719999999</v>
      </c>
      <c r="G685" t="n">
        <v>83077.6406</v>
      </c>
      <c r="H685" t="n">
        <v>83180.89840000001</v>
      </c>
      <c r="I685" t="n">
        <v>2661787648</v>
      </c>
      <c r="J685" t="n">
        <v>4</v>
      </c>
      <c r="K685" t="n">
        <v>39</v>
      </c>
      <c r="L685" t="n">
        <v>0.178</v>
      </c>
      <c r="M685" t="n">
        <v>-0.038</v>
      </c>
      <c r="N685" t="n">
        <v>36</v>
      </c>
      <c r="O685" t="n">
        <v>0.472</v>
      </c>
      <c r="P685" t="n">
        <v>-0.145</v>
      </c>
      <c r="Q685" t="n">
        <v>13.465</v>
      </c>
      <c r="R685" t="inlineStr">
        <is>
          <t>finbert</t>
        </is>
      </c>
      <c r="S685" t="inlineStr">
        <is>
          <t>Bitcoin surges 22% for the week as investor optimism floods back - CNBC</t>
        </is>
      </c>
      <c r="T6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85" t="inlineStr">
        <is>
          <t>Stacks (STX) Surges 9.7% in 3 Hours on Bitcoin Staking News - CoinMarketCap</t>
        </is>
      </c>
      <c r="V68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85" t="inlineStr">
        <is>
          <t>Bitcoin surges 5% to top $80,000 as investors look past Clarity Act's failure - Yahoo Finance</t>
        </is>
      </c>
      <c r="X68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85" t="inlineStr">
        <is>
          <t>News by Brave New Coin on TradingView, 2026-10-13 — bravenewcoin:0e8731ac7094b:0 - TradingView</t>
        </is>
      </c>
      <c r="Z685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85" t="inlineStr">
        <is>
          <t>Bitcoin price news: BTC falls to $80,000 nearly one year after October 2025 crash - CoinDesk</t>
        </is>
      </c>
      <c r="AB68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85" t="inlineStr">
        <is>
          <t>Bitcoin Crashes Through $81,000 as $489 Million in Leveraged Bets Are Liquidated - BigGo Finance</t>
        </is>
      </c>
      <c r="AD685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86">
      <c r="A686" t="inlineStr">
        <is>
          <t>2026-10-14T03:53:21+00:00</t>
        </is>
      </c>
      <c r="B686" t="inlineStr">
        <is>
          <t>2026-10-14</t>
        </is>
      </c>
      <c r="C686" t="inlineStr">
        <is>
          <t>Gold</t>
        </is>
      </c>
      <c r="D686" t="inlineStr">
        <is>
          <t>GCZ26.CMX</t>
        </is>
      </c>
      <c r="E686" t="n">
        <v>4177.8999</v>
      </c>
      <c r="F686" t="n">
        <v>4193.5</v>
      </c>
      <c r="G686" t="n">
        <v>4167</v>
      </c>
      <c r="H686" t="n">
        <v>4186.7998</v>
      </c>
      <c r="I686" t="n">
        <v>19977</v>
      </c>
      <c r="J686" t="n">
        <v>4</v>
      </c>
      <c r="K686" t="n">
        <v>40</v>
      </c>
      <c r="L686" t="n">
        <v>0.06</v>
      </c>
      <c r="M686" t="n">
        <v>0.051</v>
      </c>
      <c r="N686" t="n">
        <v>40</v>
      </c>
      <c r="O686" t="n">
        <v>0.095</v>
      </c>
      <c r="P686" t="n">
        <v>-0.02</v>
      </c>
      <c r="Q686" t="n">
        <v>3.097</v>
      </c>
      <c r="R686" t="inlineStr">
        <is>
          <t>finbert</t>
        </is>
      </c>
      <c r="S686" t="inlineStr">
        <is>
          <t>Bdan Says Gold Prices Surge 18% in a Month as Safe-Haven Demand Grows - bloomingbit</t>
        </is>
      </c>
      <c r="T686" t="inlineStr">
        <is>
          <t>https://news.google.com/rss/articles/CBMiVEFVX3lxTFBfVzcxS1BOc0hZaWdoS3Y2blo1TXF3RDZmUmdTb29xOHpwOVRjVHFMeGtFVENPMXBISUt2clJGX1dFTzI5Q01aY0QyS0oyTUhtWE8tSA?oc=5</t>
        </is>
      </c>
      <c r="U686" t="inlineStr">
        <is>
          <t>Gold hits record above $5,100 as geopolitics drive safe‑haven rush - Reuters</t>
        </is>
      </c>
      <c r="V68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6" t="inlineStr">
        <is>
          <t>Kazakhstan Central Bank to Sell Gold in 2026, Targeting 75% Reserve Share - News and Statistics - IndexBox</t>
        </is>
      </c>
      <c r="X686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6" t="inlineStr">
        <is>
          <t>UK crowned in a record quarter - World Gold Council</t>
        </is>
      </c>
      <c r="Z6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686" t="inlineStr">
        <is>
          <t>Gold Breaks Down on Descending Triangle, Sets Up $4k Test - FOREX.com</t>
        </is>
      </c>
      <c r="AB68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86" t="inlineStr">
        <is>
          <t>Gold Breaks Down on Descending Triangle, Sets Up $4k Test - StoneX</t>
        </is>
      </c>
      <c r="AD68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687">
      <c r="A687" t="inlineStr">
        <is>
          <t>2026-10-14T03:53:21+00:00</t>
        </is>
      </c>
      <c r="B687" t="inlineStr">
        <is>
          <t>2026-10-14</t>
        </is>
      </c>
      <c r="C687" t="inlineStr">
        <is>
          <t>Oil</t>
        </is>
      </c>
      <c r="D687" t="inlineStr">
        <is>
          <t>CL=F</t>
        </is>
      </c>
      <c r="E687" t="n">
        <v>94.76000000000001</v>
      </c>
      <c r="F687" t="n">
        <v>95.41</v>
      </c>
      <c r="G687" t="n">
        <v>94.68000000000001</v>
      </c>
      <c r="H687" t="n">
        <v>94.72</v>
      </c>
      <c r="I687" t="n">
        <v>12683</v>
      </c>
      <c r="J687" t="n">
        <v>4</v>
      </c>
      <c r="K687" t="n">
        <v>40</v>
      </c>
      <c r="L687" t="n">
        <v>-0.049</v>
      </c>
      <c r="M687" t="n">
        <v>-0.263</v>
      </c>
      <c r="N687" t="n">
        <v>40</v>
      </c>
      <c r="O687" t="n">
        <v>0.209</v>
      </c>
      <c r="P687" t="n">
        <v>-0.077</v>
      </c>
      <c r="Q687" t="n">
        <v>3.196</v>
      </c>
      <c r="R687" t="inlineStr">
        <is>
          <t>finbert</t>
        </is>
      </c>
      <c r="S687" t="inlineStr">
        <is>
          <t>Iran War Raises Demand for US Fuel, Boosting Gulf Coast Refining Margins - EnergyNow.com</t>
        </is>
      </c>
      <c r="T6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87" t="inlineStr">
        <is>
          <t>Oil surges 6%, Brent and US crude both surpass $100 on more tanker attacks - Reuters</t>
        </is>
      </c>
      <c r="V6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87" t="inlineStr">
        <is>
          <t>MPOB Monthly Report Imminent: Malaysia's Palm Oil Stockpiles May Surge Past 2.6 Million Tonnes as Strong El Niño Fuels Distant-Month Supply Cut Expectations - BigGo Finance</t>
        </is>
      </c>
      <c r="X68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87" t="inlineStr">
        <is>
          <t>Saudi Arabia leads OPEC+ production increase: September crude oil daily output rises by 900,000 barrels month-on-month - 富途牛牛</t>
        </is>
      </c>
      <c r="Z6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87" t="inlineStr">
        <is>
          <t>Crude Oil WTI breaks 200MA support at $88: Live levels By Investing.com - Investing.com South Africa</t>
        </is>
      </c>
      <c r="AB68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87" t="inlineStr">
        <is>
          <t>Current price of oil as of October 12, 2026 - Fortune</t>
        </is>
      </c>
      <c r="AD687" t="inlineStr">
        <is>
          <t>https://news.google.com/rss/articles/CBMiYkFVX3lxTFBBUnpTblBFMXR5ZElCU3hWS0M0cjRhZ3lKY2JnV0t1dzc4cy1OTDlQX0RReDk4ZTU2bjVYeURQbHVBdmtTX0k3QzhzVnl5RU1QalNiTkgzMGtVM1RMYXBqN0VR?oc=5</t>
        </is>
      </c>
    </row>
    <row r="688">
      <c r="A688" t="inlineStr">
        <is>
          <t>2026-10-14T03:53:21+00:00</t>
        </is>
      </c>
      <c r="B688" t="inlineStr">
        <is>
          <t>2026-10-14</t>
        </is>
      </c>
      <c r="C688" t="inlineStr">
        <is>
          <t>US Dollar</t>
        </is>
      </c>
      <c r="D688" t="inlineStr">
        <is>
          <t>DX-Y.NYB</t>
        </is>
      </c>
      <c r="E688" t="n">
        <v>102.184</v>
      </c>
      <c r="F688" t="n">
        <v>102.207</v>
      </c>
      <c r="G688" t="n">
        <v>102.076</v>
      </c>
      <c r="H688" t="n">
        <v>102.106</v>
      </c>
      <c r="I688" t="n">
        <v>0</v>
      </c>
      <c r="J688" t="n">
        <v>4</v>
      </c>
      <c r="K688" t="n">
        <v>40</v>
      </c>
      <c r="L688" t="n">
        <v>-0.269</v>
      </c>
      <c r="M688" t="n">
        <v>0.037</v>
      </c>
      <c r="N688" t="n">
        <v>40</v>
      </c>
      <c r="O688" t="n">
        <v>0.403</v>
      </c>
      <c r="P688" t="n">
        <v>-0.02</v>
      </c>
      <c r="Q688" t="n">
        <v>2.67</v>
      </c>
      <c r="R688" t="inlineStr">
        <is>
          <t>finbert</t>
        </is>
      </c>
      <c r="S688" t="inlineStr">
        <is>
          <t>Gold futures extend gains as safe-haven demand picks up. - CME Group</t>
        </is>
      </c>
      <c r="T68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8" t="inlineStr">
        <is>
          <t>Dollar Strength Builds: ETFs to Ride the Greenback Rally - TradingView</t>
        </is>
      </c>
      <c r="V688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8" t="inlineStr">
        <is>
          <t>US Dollar strengthens as Fed rate hike fears grow - MarketPulse</t>
        </is>
      </c>
      <c r="X68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8" t="inlineStr">
        <is>
          <t>Dollar Index Falls on Tuesday - TradingView</t>
        </is>
      </c>
      <c r="Z68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88" t="inlineStr">
        <is>
          <t>US Dollar Falls Early Tuesday Ahead of Existing Home Sales, Treasury Budget - Yahoo! Finance Canada</t>
        </is>
      </c>
      <c r="AB688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88" t="inlineStr">
        <is>
          <t>Foreigners Sell 3.8% of South Korea’s Market, Four Times Taiwan’s - 조선일보</t>
        </is>
      </c>
      <c r="AD688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89">
      <c r="A689" t="inlineStr">
        <is>
          <t>2026-10-14T03:53:21+00:00</t>
        </is>
      </c>
      <c r="B689" t="inlineStr">
        <is>
          <t>2026-10-14</t>
        </is>
      </c>
      <c r="C689" t="inlineStr">
        <is>
          <t>S&amp;P 500</t>
        </is>
      </c>
      <c r="D689" t="inlineStr">
        <is>
          <t>ES=F</t>
        </is>
      </c>
      <c r="E689" t="n">
        <v>7850.5</v>
      </c>
      <c r="F689" t="n">
        <v>7871</v>
      </c>
      <c r="G689" t="n">
        <v>7848.75</v>
      </c>
      <c r="H689" t="n">
        <v>7871</v>
      </c>
      <c r="I689" t="n">
        <v>39424</v>
      </c>
      <c r="J689" t="n">
        <v>4</v>
      </c>
      <c r="K689" t="n">
        <v>39</v>
      </c>
      <c r="L689" t="n">
        <v>-0.128</v>
      </c>
      <c r="M689" t="n">
        <v>0.016</v>
      </c>
      <c r="N689" t="n">
        <v>39</v>
      </c>
      <c r="O689" t="n">
        <v>0.393</v>
      </c>
      <c r="P689" t="n">
        <v>0</v>
      </c>
      <c r="Q689" t="n">
        <v>5.17</v>
      </c>
      <c r="R689" t="inlineStr">
        <is>
          <t>finbert</t>
        </is>
      </c>
      <c r="S689" t="inlineStr">
        <is>
          <t>IBRX Breaks Above This Key Resistance — Stock On Track To Record Best Single-Day Gains In 6 Months - Yahoo Finance</t>
        </is>
      </c>
      <c r="T68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89" t="inlineStr">
        <is>
          <t>Stock Market Today, Oct. 12: CCC Intelligent Solutions Surges 8% on Advanced Buyout Talks - The Motley Fool</t>
        </is>
      </c>
      <c r="V68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89" t="inlineStr">
        <is>
          <t>Stock Of The Day: Is CoreWeave About To Break Out? - TradingView</t>
        </is>
      </c>
      <c r="X68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89" t="inlineStr">
        <is>
          <t>Strong profit reports from Goldman Sachs and others support Wall Street as chip stocks drop - Washington Times</t>
        </is>
      </c>
      <c r="Z689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9" t="inlineStr">
        <is>
          <t>Dow Adds 52, Nasdaq Slides 345, S&amp;P 500 Falls 36 - TV News Check</t>
        </is>
      </c>
      <c r="AB68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9" t="inlineStr">
        <is>
          <t>Cipher Digital Tumbles 14% on $850M Convertible Note Offering and Share Exchange; Applied Digital Drops 5% - 24/7 Wall St.</t>
        </is>
      </c>
      <c r="AD689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0">
      <c r="A690" t="inlineStr">
        <is>
          <t>2026-10-14T03:53:21+00:00</t>
        </is>
      </c>
      <c r="B690" t="inlineStr">
        <is>
          <t>2026-10-14</t>
        </is>
      </c>
      <c r="C690" t="inlineStr">
        <is>
          <t>Nasdaq</t>
        </is>
      </c>
      <c r="D690" t="inlineStr">
        <is>
          <t>NQ=F</t>
        </is>
      </c>
      <c r="E690" t="n">
        <v>30755.25</v>
      </c>
      <c r="F690" t="n">
        <v>30891.5</v>
      </c>
      <c r="G690" t="n">
        <v>30744.5</v>
      </c>
      <c r="H690" t="n">
        <v>30876.25</v>
      </c>
      <c r="I690" t="n">
        <v>31626</v>
      </c>
      <c r="J690" t="n">
        <v>4</v>
      </c>
      <c r="K690" t="n">
        <v>37</v>
      </c>
      <c r="L690" t="n">
        <v>-0.132</v>
      </c>
      <c r="M690" t="n">
        <v>0.022</v>
      </c>
      <c r="N690" t="n">
        <v>37</v>
      </c>
      <c r="O690" t="n">
        <v>0.489</v>
      </c>
      <c r="P690" t="n">
        <v>0.013</v>
      </c>
      <c r="Q690" t="n">
        <v>6.604</v>
      </c>
      <c r="R690" t="inlineStr">
        <is>
          <t>finbert</t>
        </is>
      </c>
      <c r="S690" t="inlineStr">
        <is>
          <t>What's behind the recovery rally in tech stocks — plus, Elon Musk's very good week - CNBC</t>
        </is>
      </c>
      <c r="T69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0" t="inlineStr">
        <is>
          <t>Nasdaq analysis today at investingLive.com - TradingView</t>
        </is>
      </c>
      <c r="V69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0" t="inlineStr">
        <is>
          <t>US Stock Market today: Why are S&amp;P 500, Dow Jones, Nasdaq, Russell 2000 down? Latest updates on Wall Stree - The Economic Times</t>
        </is>
      </c>
      <c r="X690" t="inlineStr">
        <is>
          <t>https://news.google.com/rss/articles/CBMiswJBVV95cUxNd2xkTndPYUROeEFlaC1Sel93cHFrZ29PdEY1azJCTXgyNl9EbTR2YTlKSlEyU0xJX25DdTg2NGEzZkJRNzlna3pHRFdLbWcydjFabGdheXQ5am9sdFQtc3l0WFVkUFkwR0VUdmI2QUNEdDNGVmpoUlZ3STJUR3poQXQzbmpvazlmbUZYWWdZUkhoOEpmVDZGQ3MtUDVhNmF0a0hnb2Z2eTh5bkJBU1NuMTdGUVJWd0ZqclZnbGdrNmFRdTlVRlFwQWstN1d5STlqNFZRVGhfOWxMb09LV3g0aFM1LXc1QmlBVHljcElYV3dTR2syanVZRlNWRWNXeFNqeWlXem1GMTFxUHZZU1JlRDRXc29Ucm5Qb1FfSGVNRFpuMEU1dE9Ob09UMHVtUndaV1hZ0gG4AkFVX3lxTE1keHB6TEZlRnpUY2RhWXdlakRjbmF6YzhlWS1DWGJqTkNQbmtXWFk0cWhUMkJLZGpJR1luaGNuLVp3eExxbVlfNktxcDc1QzdXRVU5VV9UQW0tUWx0a18xTVRVSmNjZzIzcFFzQ081S0dxZlM0eWktM3pHSm1SRXhVdVctUDE4bjlkeXRGSDBnRzhfa0RDVUlKTURXUWotWTFJcGtmLTBTcWtrbXZjQnNkeFMzWmh6M0JWaWYwQ3VDZVBjT2VUYVR0RmdPU3NIQVgyanJ6a2V2ZFllMThITTNodkhDVDBpWTZBUmM0Zzd4bHJJWldwYU1LSFB2WHlHeXYzR1pfNTBrdVM0SnZySG5razczWGNJbkNkQmVpb1dYcG82SDc5b2x0UkFHVmdIN05CMjRWSjVwVQ?oc=5</t>
        </is>
      </c>
      <c r="Y690" t="inlineStr">
        <is>
          <t>Strong profit reports from Goldman Sachs and others support Wall Street as chip stocks drop - The Press-Enterprise</t>
        </is>
      </c>
      <c r="Z690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0" t="inlineStr">
        <is>
          <t>Micron sinks, other memory-linked names dip for a second day - CNBC</t>
        </is>
      </c>
      <c r="AB690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90" t="inlineStr">
        <is>
          <t>Chaos in Korea's market is sending shockwaves through US chip stocks - Business Insider</t>
        </is>
      </c>
      <c r="AD690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91">
      <c r="A691" t="inlineStr">
        <is>
          <t>2026-10-14T03:53:21+00:00</t>
        </is>
      </c>
      <c r="B691" t="inlineStr">
        <is>
          <t>2026-10-14</t>
        </is>
      </c>
      <c r="C691" t="inlineStr">
        <is>
          <t>Bitcoin</t>
        </is>
      </c>
      <c r="D691" t="inlineStr">
        <is>
          <t>BTC-USD</t>
        </is>
      </c>
      <c r="E691" t="n">
        <v>83103.9219</v>
      </c>
      <c r="F691" t="n">
        <v>83889.75780000001</v>
      </c>
      <c r="G691" t="n">
        <v>83096.64840000001</v>
      </c>
      <c r="H691" t="n">
        <v>83703.61719999999</v>
      </c>
      <c r="I691" t="n">
        <v>1967261696</v>
      </c>
      <c r="J691" t="n">
        <v>4</v>
      </c>
      <c r="K691" t="n">
        <v>39</v>
      </c>
      <c r="L691" t="n">
        <v>0.186</v>
      </c>
      <c r="M691" t="n">
        <v>-0.052</v>
      </c>
      <c r="N691" t="n">
        <v>36</v>
      </c>
      <c r="O691" t="n">
        <v>0.43</v>
      </c>
      <c r="P691" t="n">
        <v>-0.128</v>
      </c>
      <c r="Q691" t="n">
        <v>12.863</v>
      </c>
      <c r="R691" t="inlineStr">
        <is>
          <t>finbert</t>
        </is>
      </c>
      <c r="S691" t="inlineStr">
        <is>
          <t>Bitcoin surges 22% for the week as investor optimism floods back - CNBC</t>
        </is>
      </c>
      <c r="T6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1" t="inlineStr">
        <is>
          <t>Stacks (STX) Surges 9.7% in 3 Hours on Bitcoin Staking News - CoinMarketCap</t>
        </is>
      </c>
      <c r="V69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1" t="inlineStr">
        <is>
          <t>Bitcoin surges 5% to top $80,000 as investors look past Clarity Act's failure - Yahoo Finance</t>
        </is>
      </c>
      <c r="X69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91" t="inlineStr">
        <is>
          <t>News by Brave New Coin on TradingView, 2026-10-13 — bravenewcoin:0e8731ac7094b:0 - TradingView</t>
        </is>
      </c>
      <c r="Z691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91" t="inlineStr">
        <is>
          <t>Bitcoin price news: BTC falls to $80,000 nearly one year after October 2025 crash - CoinDesk</t>
        </is>
      </c>
      <c r="AB69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91" t="inlineStr">
        <is>
          <t>Bitcoin Crashes Through $81,000 as $489 Million in Leveraged Bets Are Liquidated - BigGo Finance</t>
        </is>
      </c>
      <c r="AD691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2026-10-12</t>
        </is>
      </c>
      <c r="B30" t="inlineStr">
        <is>
          <t>Bitcoin</t>
        </is>
      </c>
      <c r="C30" t="n">
        <v>79</v>
      </c>
      <c r="D30" t="n">
        <v>74</v>
      </c>
      <c r="E30" t="n">
        <v>11.557</v>
      </c>
      <c r="F30">
        <f>IF(B29=B30, IFERROR((E30-E29)/ABS(E29), "n/a"), "")</f>
        <v/>
      </c>
      <c r="G30" t="n">
        <v>83255.2188</v>
      </c>
    </row>
    <row r="31">
      <c r="A31" t="inlineStr">
        <is>
          <t>2026-10-13</t>
        </is>
      </c>
      <c r="B31" t="inlineStr">
        <is>
          <t>Bitcoin</t>
        </is>
      </c>
      <c r="C31" t="n">
        <v>157</v>
      </c>
      <c r="D31" t="n">
        <v>144</v>
      </c>
      <c r="E31" t="n">
        <v>13.311</v>
      </c>
      <c r="F31">
        <f>IF(B30=B31, IFERROR((E31-E30)/ABS(E30), "n/a"), "")</f>
        <v/>
      </c>
      <c r="G31" t="n">
        <v>82990.3496</v>
      </c>
    </row>
    <row r="32">
      <c r="A32" t="inlineStr">
        <is>
          <t>2026-09-14</t>
        </is>
      </c>
      <c r="B32" t="inlineStr">
        <is>
          <t>Gold</t>
        </is>
      </c>
      <c r="C32" t="n">
        <v>234</v>
      </c>
      <c r="D32" t="n">
        <v>240</v>
      </c>
      <c r="E32" t="n">
        <v>-0.5659999999999999</v>
      </c>
      <c r="F32">
        <f>IF(B31=B32, IFERROR((E32-E31)/ABS(E31), "n/a"), "")</f>
        <v/>
      </c>
      <c r="G32" t="n">
        <v>4344.16</v>
      </c>
    </row>
    <row r="33">
      <c r="A33" t="inlineStr">
        <is>
          <t>2026-09-15</t>
        </is>
      </c>
      <c r="B33" t="inlineStr">
        <is>
          <t>Gold</t>
        </is>
      </c>
      <c r="C33" t="n">
        <v>158</v>
      </c>
      <c r="D33" t="n">
        <v>160</v>
      </c>
      <c r="E33" t="n">
        <v>0.9360000000000001</v>
      </c>
      <c r="F33">
        <f>IF(B32=B33, IFERROR((E33-E32)/ABS(E32), "n/a"), "")</f>
        <v/>
      </c>
      <c r="G33" t="n">
        <v>4330.35</v>
      </c>
    </row>
    <row r="34">
      <c r="A34" t="inlineStr">
        <is>
          <t>2026-09-16</t>
        </is>
      </c>
      <c r="B34" t="inlineStr">
        <is>
          <t>Gold</t>
        </is>
      </c>
      <c r="C34" t="n">
        <v>156</v>
      </c>
      <c r="D34" t="n">
        <v>160</v>
      </c>
      <c r="E34" t="n">
        <v>-1.849</v>
      </c>
      <c r="F34">
        <f>IF(B33=B34, IFERROR((E34-E33)/ABS(E33), "n/a"), "")</f>
        <v/>
      </c>
      <c r="G34" t="n">
        <v>4379.0751</v>
      </c>
    </row>
    <row r="35">
      <c r="A35" t="inlineStr">
        <is>
          <t>2026-09-17</t>
        </is>
      </c>
      <c r="B35" t="inlineStr">
        <is>
          <t>Gold</t>
        </is>
      </c>
      <c r="C35" t="n">
        <v>157</v>
      </c>
      <c r="D35" t="n">
        <v>160</v>
      </c>
      <c r="E35" t="n">
        <v>-1.002</v>
      </c>
      <c r="F35">
        <f>IF(B34=B35, IFERROR((E35-E34)/ABS(E34), "n/a"), "")</f>
        <v/>
      </c>
      <c r="G35" t="n">
        <v>4369.6499</v>
      </c>
    </row>
    <row r="36">
      <c r="A36" t="inlineStr">
        <is>
          <t>2026-09-18</t>
        </is>
      </c>
      <c r="B36" t="inlineStr">
        <is>
          <t>Gold</t>
        </is>
      </c>
      <c r="C36" t="n">
        <v>158</v>
      </c>
      <c r="D36" t="n">
        <v>152</v>
      </c>
      <c r="E36" t="n">
        <v>0.025</v>
      </c>
      <c r="F36">
        <f>IF(B35=B36, IFERROR((E36-E35)/ABS(E35), "n/a"), "")</f>
        <v/>
      </c>
      <c r="G36" t="n">
        <v>4406.44</v>
      </c>
    </row>
    <row r="37">
      <c r="A37" t="inlineStr">
        <is>
          <t>2026-09-19</t>
        </is>
      </c>
      <c r="B37" t="inlineStr">
        <is>
          <t>Gold</t>
        </is>
      </c>
      <c r="C37" t="n">
        <v>199</v>
      </c>
      <c r="D37" t="n">
        <v>200</v>
      </c>
      <c r="E37" t="n">
        <v>0.844</v>
      </c>
      <c r="F37">
        <f>IF(B36=B37, IFERROR((E37-E36)/ABS(E36), "n/a"), "")</f>
        <v/>
      </c>
      <c r="G37" t="n">
        <v>4423.0999</v>
      </c>
    </row>
    <row r="38">
      <c r="A38" t="inlineStr">
        <is>
          <t>2026-09-20</t>
        </is>
      </c>
      <c r="B38" t="inlineStr">
        <is>
          <t>Gold</t>
        </is>
      </c>
      <c r="C38" t="n">
        <v>196</v>
      </c>
      <c r="D38" t="n">
        <v>200</v>
      </c>
      <c r="E38" t="n">
        <v>0.295</v>
      </c>
      <c r="F38">
        <f>IF(B37=B38, IFERROR((E38-E37)/ABS(E37), "n/a"), "")</f>
        <v/>
      </c>
      <c r="G38" t="n">
        <v>4439.6199</v>
      </c>
    </row>
    <row r="39">
      <c r="A39" t="inlineStr">
        <is>
          <t>2026-09-21</t>
        </is>
      </c>
      <c r="B39" t="inlineStr">
        <is>
          <t>Gold</t>
        </is>
      </c>
      <c r="C39" t="n">
        <v>157</v>
      </c>
      <c r="D39" t="n">
        <v>160</v>
      </c>
      <c r="E39" t="n">
        <v>2.682</v>
      </c>
      <c r="F39">
        <f>IF(B38=B39, IFERROR((E39-E38)/ABS(E38), "n/a"), "")</f>
        <v/>
      </c>
      <c r="G39" t="n">
        <v>4391.025</v>
      </c>
    </row>
    <row r="40">
      <c r="A40" t="inlineStr">
        <is>
          <t>2026-09-22</t>
        </is>
      </c>
      <c r="B40" t="inlineStr">
        <is>
          <t>Gold</t>
        </is>
      </c>
      <c r="C40" t="n">
        <v>158</v>
      </c>
      <c r="D40" t="n">
        <v>160</v>
      </c>
      <c r="E40" t="n">
        <v>3.15</v>
      </c>
      <c r="F40">
        <f>IF(B39=B40, IFERROR((E40-E39)/ABS(E39), "n/a"), "")</f>
        <v/>
      </c>
      <c r="G40" t="n">
        <v>4391.3002</v>
      </c>
    </row>
    <row r="41">
      <c r="A41" t="inlineStr">
        <is>
          <t>2026-09-23</t>
        </is>
      </c>
      <c r="B41" t="inlineStr">
        <is>
          <t>Gold</t>
        </is>
      </c>
      <c r="C41" t="n">
        <v>157</v>
      </c>
      <c r="D41" t="n">
        <v>160</v>
      </c>
      <c r="E41" t="n">
        <v>0.364</v>
      </c>
      <c r="F41">
        <f>IF(B40=B41, IFERROR((E41-E40)/ABS(E40), "n/a"), "")</f>
        <v/>
      </c>
      <c r="G41" t="n">
        <v>4344.4</v>
      </c>
    </row>
    <row r="42">
      <c r="A42" t="inlineStr">
        <is>
          <t>2026-09-24</t>
        </is>
      </c>
      <c r="B42" t="inlineStr">
        <is>
          <t>Gold</t>
        </is>
      </c>
      <c r="C42" t="n">
        <v>156</v>
      </c>
      <c r="D42" t="n">
        <v>160</v>
      </c>
      <c r="E42" t="n">
        <v>-1.03</v>
      </c>
      <c r="F42">
        <f>IF(B41=B42, IFERROR((E42-E41)/ABS(E41), "n/a"), "")</f>
        <v/>
      </c>
      <c r="G42" t="n">
        <v>4309.5</v>
      </c>
    </row>
    <row r="43">
      <c r="A43" t="inlineStr">
        <is>
          <t>2026-09-25</t>
        </is>
      </c>
      <c r="B43" t="inlineStr">
        <is>
          <t>Gold</t>
        </is>
      </c>
      <c r="C43" t="n">
        <v>197</v>
      </c>
      <c r="D43" t="n">
        <v>200</v>
      </c>
      <c r="E43" t="n">
        <v>-2.692</v>
      </c>
      <c r="F43">
        <f>IF(B42=B43, IFERROR((E43-E42)/ABS(E42), "n/a"), "")</f>
        <v/>
      </c>
      <c r="G43" t="n">
        <v>4319.64</v>
      </c>
    </row>
    <row r="44">
      <c r="A44" t="inlineStr">
        <is>
          <t>2026-09-26</t>
        </is>
      </c>
      <c r="B44" t="inlineStr">
        <is>
          <t>Gold</t>
        </is>
      </c>
      <c r="C44" t="n">
        <v>195</v>
      </c>
      <c r="D44" t="n">
        <v>200</v>
      </c>
      <c r="E44" t="n">
        <v>-3.94</v>
      </c>
      <c r="F44">
        <f>IF(B43=B44, IFERROR((E44-E43)/ABS(E43), "n/a"), "")</f>
        <v/>
      </c>
      <c r="G44" t="n">
        <v>4321.0602</v>
      </c>
    </row>
    <row r="45">
      <c r="A45" t="inlineStr">
        <is>
          <t>2026-09-27</t>
        </is>
      </c>
      <c r="B45" t="inlineStr">
        <is>
          <t>Gold</t>
        </is>
      </c>
      <c r="C45" t="n">
        <v>156</v>
      </c>
      <c r="D45" t="n">
        <v>160</v>
      </c>
      <c r="E45" t="n">
        <v>-1.662</v>
      </c>
      <c r="F45">
        <f>IF(B44=B45, IFERROR((E45-E44)/ABS(E44), "n/a"), "")</f>
        <v/>
      </c>
      <c r="G45" t="n">
        <v>4315.1502</v>
      </c>
    </row>
    <row r="46">
      <c r="A46" t="inlineStr">
        <is>
          <t>2026-09-28</t>
        </is>
      </c>
      <c r="B46" t="inlineStr">
        <is>
          <t>Gold</t>
        </is>
      </c>
      <c r="C46" t="n">
        <v>79</v>
      </c>
      <c r="D46" t="n">
        <v>80</v>
      </c>
      <c r="E46" t="n">
        <v>1.23</v>
      </c>
      <c r="F46">
        <f>IF(B45=B46, IFERROR((E46-E45)/ABS(E45), "n/a"), "")</f>
        <v/>
      </c>
      <c r="G46" t="n">
        <v>4209.6499</v>
      </c>
    </row>
    <row r="47">
      <c r="A47" t="inlineStr">
        <is>
          <t>2026-09-29</t>
        </is>
      </c>
      <c r="B47" t="inlineStr">
        <is>
          <t>Gold</t>
        </is>
      </c>
      <c r="C47" t="n">
        <v>156</v>
      </c>
      <c r="D47" t="n">
        <v>160</v>
      </c>
      <c r="E47" t="n">
        <v>0.95</v>
      </c>
      <c r="F47">
        <f>IF(B46=B47, IFERROR((E47-E46)/ABS(E46), "n/a"), "")</f>
        <v/>
      </c>
      <c r="G47" t="n">
        <v>4181.8999</v>
      </c>
    </row>
    <row r="48">
      <c r="A48" t="inlineStr">
        <is>
          <t>2026-09-30</t>
        </is>
      </c>
      <c r="B48" t="inlineStr">
        <is>
          <t>Gold</t>
        </is>
      </c>
      <c r="C48" t="n">
        <v>118</v>
      </c>
      <c r="D48" t="n">
        <v>120</v>
      </c>
      <c r="E48" t="n">
        <v>-1.407</v>
      </c>
      <c r="F48">
        <f>IF(B47=B48, IFERROR((E48-E47)/ABS(E47), "n/a"), "")</f>
        <v/>
      </c>
      <c r="G48" t="n">
        <v>4199.1667</v>
      </c>
    </row>
    <row r="49">
      <c r="A49" t="inlineStr">
        <is>
          <t>2026-10-01</t>
        </is>
      </c>
      <c r="B49" t="inlineStr">
        <is>
          <t>Gold</t>
        </is>
      </c>
      <c r="C49" t="n">
        <v>118</v>
      </c>
      <c r="D49" t="n">
        <v>120</v>
      </c>
      <c r="E49" t="n">
        <v>-2.252</v>
      </c>
      <c r="F49">
        <f>IF(B48=B49, IFERROR((E49-E48)/ABS(E48), "n/a"), "")</f>
        <v/>
      </c>
      <c r="G49" t="n">
        <v>4197</v>
      </c>
    </row>
    <row r="50">
      <c r="A50" t="inlineStr">
        <is>
          <t>2026-10-02</t>
        </is>
      </c>
      <c r="B50" t="inlineStr">
        <is>
          <t>Gold</t>
        </is>
      </c>
      <c r="C50" t="n">
        <v>118</v>
      </c>
      <c r="D50" t="n">
        <v>120</v>
      </c>
      <c r="E50" t="n">
        <v>-1.761</v>
      </c>
      <c r="F50">
        <f>IF(B49=B50, IFERROR((E50-E49)/ABS(E49), "n/a"), "")</f>
        <v/>
      </c>
      <c r="G50" t="n">
        <v>4200.6667</v>
      </c>
    </row>
    <row r="51">
      <c r="A51" t="inlineStr">
        <is>
          <t>2026-10-03</t>
        </is>
      </c>
      <c r="B51" t="inlineStr">
        <is>
          <t>Gold</t>
        </is>
      </c>
      <c r="C51" t="n">
        <v>156</v>
      </c>
      <c r="D51" t="n">
        <v>160</v>
      </c>
      <c r="E51" t="n">
        <v>0.602</v>
      </c>
      <c r="F51">
        <f>IF(B50=B51, IFERROR((E51-E50)/ABS(E50), "n/a"), "")</f>
        <v/>
      </c>
      <c r="G51" t="n">
        <v>4164.7499</v>
      </c>
    </row>
    <row r="52">
      <c r="A52" t="inlineStr">
        <is>
          <t>2026-10-04</t>
        </is>
      </c>
      <c r="B52" t="inlineStr">
        <is>
          <t>Gold</t>
        </is>
      </c>
      <c r="C52" t="n">
        <v>157</v>
      </c>
      <c r="D52" t="n">
        <v>160</v>
      </c>
      <c r="E52" t="n">
        <v>2.126</v>
      </c>
      <c r="F52">
        <f>IF(B51=B52, IFERROR((E52-E51)/ABS(E51), "n/a"), "")</f>
        <v/>
      </c>
      <c r="G52" t="n">
        <v>4164.4248</v>
      </c>
    </row>
    <row r="53">
      <c r="A53" t="inlineStr">
        <is>
          <t>2026-10-05</t>
        </is>
      </c>
      <c r="B53" t="inlineStr">
        <is>
          <t>Gold</t>
        </is>
      </c>
      <c r="C53" t="n">
        <v>78</v>
      </c>
      <c r="D53" t="n">
        <v>80</v>
      </c>
      <c r="E53" t="n">
        <v>1.296</v>
      </c>
      <c r="F53">
        <f>IF(B52=B53, IFERROR((E53-E52)/ABS(E52), "n/a"), "")</f>
        <v/>
      </c>
      <c r="G53" t="n">
        <v>4158.9001</v>
      </c>
    </row>
    <row r="54">
      <c r="A54" t="inlineStr">
        <is>
          <t>2026-10-06</t>
        </is>
      </c>
      <c r="B54" t="inlineStr">
        <is>
          <t>Gold</t>
        </is>
      </c>
      <c r="C54" t="n">
        <v>159</v>
      </c>
      <c r="D54" t="n">
        <v>160</v>
      </c>
      <c r="E54" t="n">
        <v>3.093</v>
      </c>
      <c r="F54">
        <f>IF(B53=B54, IFERROR((E54-E53)/ABS(E53), "n/a"), "")</f>
        <v/>
      </c>
      <c r="G54" t="n">
        <v>4188.65</v>
      </c>
    </row>
    <row r="55">
      <c r="A55" t="inlineStr">
        <is>
          <t>2026-10-07</t>
        </is>
      </c>
      <c r="B55" t="inlineStr">
        <is>
          <t>Gold</t>
        </is>
      </c>
      <c r="C55" t="n">
        <v>80</v>
      </c>
      <c r="D55" t="n">
        <v>80</v>
      </c>
      <c r="E55" t="n">
        <v>7.024</v>
      </c>
      <c r="F55">
        <f>IF(B54=B55, IFERROR((E55-E54)/ABS(E54), "n/a"), "")</f>
        <v/>
      </c>
      <c r="G55" t="n">
        <v>4149.1499</v>
      </c>
    </row>
    <row r="56">
      <c r="A56" t="inlineStr">
        <is>
          <t>2026-10-08</t>
        </is>
      </c>
      <c r="B56" t="inlineStr">
        <is>
          <t>Gold</t>
        </is>
      </c>
      <c r="C56" t="n">
        <v>120</v>
      </c>
      <c r="D56" t="n">
        <v>120</v>
      </c>
      <c r="E56" t="n">
        <v>4.406</v>
      </c>
      <c r="F56">
        <f>IF(B55=B56, IFERROR((E56-E55)/ABS(E55), "n/a"), "")</f>
        <v/>
      </c>
      <c r="G56" t="n">
        <v>4153.2</v>
      </c>
    </row>
    <row r="57">
      <c r="A57" t="inlineStr">
        <is>
          <t>2026-10-09</t>
        </is>
      </c>
      <c r="B57" t="inlineStr">
        <is>
          <t>Gold</t>
        </is>
      </c>
      <c r="C57" t="n">
        <v>120</v>
      </c>
      <c r="D57" t="n">
        <v>120</v>
      </c>
      <c r="E57" t="n">
        <v>3.455</v>
      </c>
      <c r="F57">
        <f>IF(B56=B57, IFERROR((E57-E56)/ABS(E56), "n/a"), "")</f>
        <v/>
      </c>
      <c r="G57" t="n">
        <v>4210.3999</v>
      </c>
    </row>
    <row r="58">
      <c r="A58" t="inlineStr">
        <is>
          <t>2026-10-10</t>
        </is>
      </c>
      <c r="B58" t="inlineStr">
        <is>
          <t>Gold</t>
        </is>
      </c>
      <c r="C58" t="n">
        <v>160</v>
      </c>
      <c r="D58" t="n">
        <v>160</v>
      </c>
      <c r="E58" t="n">
        <v>4.276</v>
      </c>
      <c r="F58">
        <f>IF(B57=B58, IFERROR((E58-E57)/ABS(E57), "n/a"), "")</f>
        <v/>
      </c>
      <c r="G58" t="n">
        <v>4217.2998</v>
      </c>
    </row>
    <row r="59">
      <c r="A59" t="inlineStr">
        <is>
          <t>2026-10-11</t>
        </is>
      </c>
      <c r="B59" t="inlineStr">
        <is>
          <t>Gold</t>
        </is>
      </c>
      <c r="C59" t="n">
        <v>160</v>
      </c>
      <c r="D59" t="n">
        <v>160</v>
      </c>
      <c r="E59" t="n">
        <v>3.786</v>
      </c>
      <c r="F59">
        <f>IF(B58=B59, IFERROR((E59-E58)/ABS(E58), "n/a"), "")</f>
        <v/>
      </c>
      <c r="G59" t="n">
        <v>4233.7248</v>
      </c>
    </row>
    <row r="60">
      <c r="A60" t="inlineStr">
        <is>
          <t>2026-10-12</t>
        </is>
      </c>
      <c r="B60" t="inlineStr">
        <is>
          <t>Gold</t>
        </is>
      </c>
      <c r="C60" t="n">
        <v>80</v>
      </c>
      <c r="D60" t="n">
        <v>80</v>
      </c>
      <c r="E60" t="n">
        <v>2.987</v>
      </c>
      <c r="F60">
        <f>IF(B59=B60, IFERROR((E60-E59)/ABS(E59), "n/a"), "")</f>
        <v/>
      </c>
      <c r="G60" t="n">
        <v>4206.25</v>
      </c>
    </row>
    <row r="61">
      <c r="A61" t="inlineStr">
        <is>
          <t>2026-10-13</t>
        </is>
      </c>
      <c r="B61" t="inlineStr">
        <is>
          <t>Gold</t>
        </is>
      </c>
      <c r="C61" t="n">
        <v>160</v>
      </c>
      <c r="D61" t="n">
        <v>160</v>
      </c>
      <c r="E61" t="n">
        <v>3.275</v>
      </c>
      <c r="F61">
        <f>IF(B60=B61, IFERROR((E61-E60)/ABS(E60), "n/a"), "")</f>
        <v/>
      </c>
      <c r="G61" t="n">
        <v>4188.2001</v>
      </c>
    </row>
    <row r="62">
      <c r="A62" t="inlineStr">
        <is>
          <t>2026-09-14</t>
        </is>
      </c>
      <c r="B62" t="inlineStr">
        <is>
          <t>Nasdaq</t>
        </is>
      </c>
      <c r="C62" t="n">
        <v>240</v>
      </c>
      <c r="D62" t="n">
        <v>212</v>
      </c>
      <c r="E62" t="n">
        <v>5.507</v>
      </c>
      <c r="F62">
        <f>IF(B61=B62, IFERROR((E62-E61)/ABS(E61), "n/a"), "")</f>
        <v/>
      </c>
      <c r="G62" t="n">
        <v>29143.15</v>
      </c>
    </row>
    <row r="63">
      <c r="A63" t="inlineStr">
        <is>
          <t>2026-09-15</t>
        </is>
      </c>
      <c r="B63" t="inlineStr">
        <is>
          <t>Nasdaq</t>
        </is>
      </c>
      <c r="C63" t="n">
        <v>159</v>
      </c>
      <c r="D63" t="n">
        <v>140</v>
      </c>
      <c r="E63" t="n">
        <v>1.638</v>
      </c>
      <c r="F63">
        <f>IF(B62=B63, IFERROR((E63-E62)/ABS(E62), "n/a"), "")</f>
        <v/>
      </c>
      <c r="G63" t="n">
        <v>29317.0625</v>
      </c>
    </row>
    <row r="64">
      <c r="A64" t="inlineStr">
        <is>
          <t>2026-09-16</t>
        </is>
      </c>
      <c r="B64" t="inlineStr">
        <is>
          <t>Nasdaq</t>
        </is>
      </c>
      <c r="C64" t="n">
        <v>160</v>
      </c>
      <c r="D64" t="n">
        <v>142</v>
      </c>
      <c r="E64" t="n">
        <v>1.225</v>
      </c>
      <c r="F64">
        <f>IF(B63=B64, IFERROR((E64-E63)/ABS(E63), "n/a"), "")</f>
        <v/>
      </c>
      <c r="G64" t="n">
        <v>29371.8125</v>
      </c>
    </row>
    <row r="65">
      <c r="A65" t="inlineStr">
        <is>
          <t>2026-09-17</t>
        </is>
      </c>
      <c r="B65" t="inlineStr">
        <is>
          <t>Nasdaq</t>
        </is>
      </c>
      <c r="C65" t="n">
        <v>158</v>
      </c>
      <c r="D65" t="n">
        <v>147</v>
      </c>
      <c r="E65" t="n">
        <v>-1.626</v>
      </c>
      <c r="F65">
        <f>IF(B64=B65, IFERROR((E65-E64)/ABS(E64), "n/a"), "")</f>
        <v/>
      </c>
      <c r="G65" t="n">
        <v>29614.1875</v>
      </c>
    </row>
    <row r="66">
      <c r="A66" t="inlineStr">
        <is>
          <t>2026-09-18</t>
        </is>
      </c>
      <c r="B66" t="inlineStr">
        <is>
          <t>Nasdaq</t>
        </is>
      </c>
      <c r="C66" t="n">
        <v>151</v>
      </c>
      <c r="D66" t="n">
        <v>151</v>
      </c>
      <c r="E66" t="n">
        <v>-2.282</v>
      </c>
      <c r="F66">
        <f>IF(B65=B66, IFERROR((E66-E65)/ABS(E65), "n/a"), "")</f>
        <v/>
      </c>
      <c r="G66" t="n">
        <v>29828.95</v>
      </c>
    </row>
    <row r="67">
      <c r="A67" t="inlineStr">
        <is>
          <t>2026-09-19</t>
        </is>
      </c>
      <c r="B67" t="inlineStr">
        <is>
          <t>Nasdaq</t>
        </is>
      </c>
      <c r="C67" t="n">
        <v>198</v>
      </c>
      <c r="D67" t="n">
        <v>186</v>
      </c>
      <c r="E67" t="n">
        <v>-2.938</v>
      </c>
      <c r="F67">
        <f>IF(B66=B67, IFERROR((E67-E66)/ABS(E66), "n/a"), "")</f>
        <v/>
      </c>
      <c r="G67" t="n">
        <v>29917.25</v>
      </c>
    </row>
    <row r="68">
      <c r="A68" t="inlineStr">
        <is>
          <t>2026-09-20</t>
        </is>
      </c>
      <c r="B68" t="inlineStr">
        <is>
          <t>Nasdaq</t>
        </is>
      </c>
      <c r="C68" t="n">
        <v>200</v>
      </c>
      <c r="D68" t="n">
        <v>191</v>
      </c>
      <c r="E68" t="n">
        <v>0.022</v>
      </c>
      <c r="F68">
        <f>IF(B67=B68, IFERROR((E68-E67)/ABS(E67), "n/a"), "")</f>
        <v/>
      </c>
      <c r="G68" t="n">
        <v>29917.25</v>
      </c>
    </row>
    <row r="69">
      <c r="A69" t="inlineStr">
        <is>
          <t>2026-09-21</t>
        </is>
      </c>
      <c r="B69" t="inlineStr">
        <is>
          <t>Nasdaq</t>
        </is>
      </c>
      <c r="C69" t="n">
        <v>150</v>
      </c>
      <c r="D69" t="n">
        <v>157</v>
      </c>
      <c r="E69" t="n">
        <v>-3.179</v>
      </c>
      <c r="F69">
        <f>IF(B68=B69, IFERROR((E69-E68)/ABS(E68), "n/a"), "")</f>
        <v/>
      </c>
      <c r="G69" t="n">
        <v>30469.875</v>
      </c>
    </row>
    <row r="70">
      <c r="A70" t="inlineStr">
        <is>
          <t>2026-09-22</t>
        </is>
      </c>
      <c r="B70" t="inlineStr">
        <is>
          <t>Nasdaq</t>
        </is>
      </c>
      <c r="C70" t="n">
        <v>137</v>
      </c>
      <c r="D70" t="n">
        <v>155</v>
      </c>
      <c r="E70" t="n">
        <v>-7.568</v>
      </c>
      <c r="F70">
        <f>IF(B69=B70, IFERROR((E70-E69)/ABS(E69), "n/a"), "")</f>
        <v/>
      </c>
      <c r="G70" t="n">
        <v>30911.625</v>
      </c>
    </row>
    <row r="71">
      <c r="A71" t="inlineStr">
        <is>
          <t>2026-09-23</t>
        </is>
      </c>
      <c r="B71" t="inlineStr">
        <is>
          <t>Nasdaq</t>
        </is>
      </c>
      <c r="C71" t="n">
        <v>140</v>
      </c>
      <c r="D71" t="n">
        <v>150</v>
      </c>
      <c r="E71" t="n">
        <v>-2.077</v>
      </c>
      <c r="F71">
        <f>IF(B70=B71, IFERROR((E71-E70)/ABS(E70), "n/a"), "")</f>
        <v/>
      </c>
      <c r="G71" t="n">
        <v>30888.875</v>
      </c>
    </row>
    <row r="72">
      <c r="A72" t="inlineStr">
        <is>
          <t>2026-09-24</t>
        </is>
      </c>
      <c r="B72" t="inlineStr">
        <is>
          <t>Nasdaq</t>
        </is>
      </c>
      <c r="C72" t="n">
        <v>141</v>
      </c>
      <c r="D72" t="n">
        <v>134</v>
      </c>
      <c r="E72" t="n">
        <v>-0.161</v>
      </c>
      <c r="F72">
        <f>IF(B71=B72, IFERROR((E72-E71)/ABS(E71), "n/a"), "")</f>
        <v/>
      </c>
      <c r="G72" t="n">
        <v>30631.875</v>
      </c>
    </row>
    <row r="73">
      <c r="A73" t="inlineStr">
        <is>
          <t>2026-09-25</t>
        </is>
      </c>
      <c r="B73" t="inlineStr">
        <is>
          <t>Nasdaq</t>
        </is>
      </c>
      <c r="C73" t="n">
        <v>174</v>
      </c>
      <c r="D73" t="n">
        <v>170</v>
      </c>
      <c r="E73" t="n">
        <v>0.508</v>
      </c>
      <c r="F73">
        <f>IF(B72=B73, IFERROR((E73-E72)/ABS(E72), "n/a"), "")</f>
        <v/>
      </c>
      <c r="G73" t="n">
        <v>30901.75</v>
      </c>
    </row>
    <row r="74">
      <c r="A74" t="inlineStr">
        <is>
          <t>2026-09-26</t>
        </is>
      </c>
      <c r="B74" t="inlineStr">
        <is>
          <t>Nasdaq</t>
        </is>
      </c>
      <c r="C74" t="n">
        <v>174</v>
      </c>
      <c r="D74" t="n">
        <v>169</v>
      </c>
      <c r="E74" t="n">
        <v>2.636</v>
      </c>
      <c r="F74">
        <f>IF(B73=B74, IFERROR((E74-E73)/ABS(E73), "n/a"), "")</f>
        <v/>
      </c>
      <c r="G74" t="n">
        <v>30895.75</v>
      </c>
    </row>
    <row r="75">
      <c r="A75" t="inlineStr">
        <is>
          <t>2026-09-27</t>
        </is>
      </c>
      <c r="B75" t="inlineStr">
        <is>
          <t>Nasdaq</t>
        </is>
      </c>
      <c r="C75" t="n">
        <v>139</v>
      </c>
      <c r="D75" t="n">
        <v>136</v>
      </c>
      <c r="E75" t="n">
        <v>2.269</v>
      </c>
      <c r="F75">
        <f>IF(B74=B75, IFERROR((E75-E74)/ABS(E74), "n/a"), "")</f>
        <v/>
      </c>
      <c r="G75" t="n">
        <v>30868.5625</v>
      </c>
    </row>
    <row r="76">
      <c r="A76" t="inlineStr">
        <is>
          <t>2026-09-28</t>
        </is>
      </c>
      <c r="B76" t="inlineStr">
        <is>
          <t>Nasdaq</t>
        </is>
      </c>
      <c r="C76" t="n">
        <v>70</v>
      </c>
      <c r="D76" t="n">
        <v>72</v>
      </c>
      <c r="E76" t="n">
        <v>4.107</v>
      </c>
      <c r="F76">
        <f>IF(B75=B76, IFERROR((E76-E75)/ABS(E75), "n/a"), "")</f>
        <v/>
      </c>
      <c r="G76" t="n">
        <v>30639.25</v>
      </c>
    </row>
    <row r="77">
      <c r="A77" t="inlineStr">
        <is>
          <t>2026-09-29</t>
        </is>
      </c>
      <c r="B77" t="inlineStr">
        <is>
          <t>Nasdaq</t>
        </is>
      </c>
      <c r="C77" t="n">
        <v>144</v>
      </c>
      <c r="D77" t="n">
        <v>151</v>
      </c>
      <c r="E77" t="n">
        <v>7.112</v>
      </c>
      <c r="F77">
        <f>IF(B76=B77, IFERROR((E77-E76)/ABS(E76), "n/a"), "")</f>
        <v/>
      </c>
      <c r="G77" t="n">
        <v>30602.1875</v>
      </c>
    </row>
    <row r="78">
      <c r="A78" t="inlineStr">
        <is>
          <t>2026-09-30</t>
        </is>
      </c>
      <c r="B78" t="inlineStr">
        <is>
          <t>Nasdaq</t>
        </is>
      </c>
      <c r="C78" t="n">
        <v>111</v>
      </c>
      <c r="D78" t="n">
        <v>112</v>
      </c>
      <c r="E78" t="n">
        <v>6.872</v>
      </c>
      <c r="F78">
        <f>IF(B77=B78, IFERROR((E78-E77)/ABS(E77), "n/a"), "")</f>
        <v/>
      </c>
      <c r="G78" t="n">
        <v>30727.4167</v>
      </c>
    </row>
    <row r="79">
      <c r="A79" t="inlineStr">
        <is>
          <t>2026-10-01</t>
        </is>
      </c>
      <c r="B79" t="inlineStr">
        <is>
          <t>Nasdaq</t>
        </is>
      </c>
      <c r="C79" t="n">
        <v>116</v>
      </c>
      <c r="D79" t="n">
        <v>112</v>
      </c>
      <c r="E79" t="n">
        <v>6.224</v>
      </c>
      <c r="F79">
        <f>IF(B78=B79, IFERROR((E79-E78)/ABS(E78), "n/a"), "")</f>
        <v/>
      </c>
      <c r="G79" t="n">
        <v>30770.9167</v>
      </c>
    </row>
    <row r="80">
      <c r="A80" t="inlineStr">
        <is>
          <t>2026-10-02</t>
        </is>
      </c>
      <c r="B80" t="inlineStr">
        <is>
          <t>Nasdaq</t>
        </is>
      </c>
      <c r="C80" t="n">
        <v>114</v>
      </c>
      <c r="D80" t="n">
        <v>114</v>
      </c>
      <c r="E80" t="n">
        <v>1.95</v>
      </c>
      <c r="F80">
        <f>IF(B79=B80, IFERROR((E80-E79)/ABS(E79), "n/a"), "")</f>
        <v/>
      </c>
      <c r="G80" t="n">
        <v>31080.1667</v>
      </c>
    </row>
    <row r="81">
      <c r="A81" t="inlineStr">
        <is>
          <t>2026-10-03</t>
        </is>
      </c>
      <c r="B81" t="inlineStr">
        <is>
          <t>Nasdaq</t>
        </is>
      </c>
      <c r="C81" t="n">
        <v>157</v>
      </c>
      <c r="D81" t="n">
        <v>151</v>
      </c>
      <c r="E81" t="n">
        <v>2.666</v>
      </c>
      <c r="F81">
        <f>IF(B80=B81, IFERROR((E81-E80)/ABS(E80), "n/a"), "")</f>
        <v/>
      </c>
      <c r="G81" t="n">
        <v>31058.5625</v>
      </c>
    </row>
    <row r="82">
      <c r="A82" t="inlineStr">
        <is>
          <t>2026-10-04</t>
        </is>
      </c>
      <c r="B82" t="inlineStr">
        <is>
          <t>Nasdaq</t>
        </is>
      </c>
      <c r="C82" t="n">
        <v>159</v>
      </c>
      <c r="D82" t="n">
        <v>153</v>
      </c>
      <c r="E82" t="n">
        <v>3.19</v>
      </c>
      <c r="F82">
        <f>IF(B81=B82, IFERROR((E82-E81)/ABS(E81), "n/a"), "")</f>
        <v/>
      </c>
      <c r="G82" t="n">
        <v>31086.25</v>
      </c>
    </row>
    <row r="83">
      <c r="A83" t="inlineStr">
        <is>
          <t>2026-10-05</t>
        </is>
      </c>
      <c r="B83" t="inlineStr">
        <is>
          <t>Nasdaq</t>
        </is>
      </c>
      <c r="C83" t="n">
        <v>80</v>
      </c>
      <c r="D83" t="n">
        <v>76</v>
      </c>
      <c r="E83" t="n">
        <v>2.624</v>
      </c>
      <c r="F83">
        <f>IF(B82=B83, IFERROR((E83-E82)/ABS(E82), "n/a"), "")</f>
        <v/>
      </c>
      <c r="G83" t="n">
        <v>31170.25</v>
      </c>
    </row>
    <row r="84">
      <c r="A84" t="inlineStr">
        <is>
          <t>2026-10-06</t>
        </is>
      </c>
      <c r="B84" t="inlineStr">
        <is>
          <t>Nasdaq</t>
        </is>
      </c>
      <c r="C84" t="n">
        <v>152</v>
      </c>
      <c r="D84" t="n">
        <v>155</v>
      </c>
      <c r="E84" t="n">
        <v>-4.017</v>
      </c>
      <c r="F84">
        <f>IF(B83=B84, IFERROR((E84-E83)/ABS(E83), "n/a"), "")</f>
        <v/>
      </c>
      <c r="G84" t="n">
        <v>31468.375</v>
      </c>
    </row>
    <row r="85">
      <c r="A85" t="inlineStr">
        <is>
          <t>2026-10-07</t>
        </is>
      </c>
      <c r="B85" t="inlineStr">
        <is>
          <t>Nasdaq</t>
        </is>
      </c>
      <c r="C85" t="n">
        <v>73</v>
      </c>
      <c r="D85" t="n">
        <v>75</v>
      </c>
      <c r="E85" t="n">
        <v>0.298</v>
      </c>
      <c r="F85">
        <f>IF(B84=B85, IFERROR((E85-E84)/ABS(E84), "n/a"), "")</f>
        <v/>
      </c>
      <c r="G85" t="n">
        <v>31438.25</v>
      </c>
    </row>
    <row r="86">
      <c r="A86" t="inlineStr">
        <is>
          <t>2026-10-08</t>
        </is>
      </c>
      <c r="B86" t="inlineStr">
        <is>
          <t>Nasdaq</t>
        </is>
      </c>
      <c r="C86" t="n">
        <v>113</v>
      </c>
      <c r="D86" t="n">
        <v>112</v>
      </c>
      <c r="E86" t="n">
        <v>-0.006</v>
      </c>
      <c r="F86">
        <f>IF(B85=B86, IFERROR((E86-E85)/ABS(E85), "n/a"), "")</f>
        <v/>
      </c>
      <c r="G86" t="n">
        <v>31216.3333</v>
      </c>
    </row>
    <row r="87">
      <c r="A87" t="inlineStr">
        <is>
          <t>2026-10-09</t>
        </is>
      </c>
      <c r="B87" t="inlineStr">
        <is>
          <t>Nasdaq</t>
        </is>
      </c>
      <c r="C87" t="n">
        <v>107</v>
      </c>
      <c r="D87" t="n">
        <v>109</v>
      </c>
      <c r="E87" t="n">
        <v>0.646</v>
      </c>
      <c r="F87">
        <f>IF(B86=B87, IFERROR((E87-E86)/ABS(E86), "n/a"), "")</f>
        <v/>
      </c>
      <c r="G87" t="n">
        <v>31099.75</v>
      </c>
    </row>
    <row r="88">
      <c r="A88" t="inlineStr">
        <is>
          <t>2026-10-10</t>
        </is>
      </c>
      <c r="B88" t="inlineStr">
        <is>
          <t>Nasdaq</t>
        </is>
      </c>
      <c r="C88" t="n">
        <v>148</v>
      </c>
      <c r="D88" t="n">
        <v>144</v>
      </c>
      <c r="E88" t="n">
        <v>3.202</v>
      </c>
      <c r="F88">
        <f>IF(B87=B88, IFERROR((E88-E87)/ABS(E87), "n/a"), "")</f>
        <v/>
      </c>
      <c r="G88" t="n">
        <v>31112.375</v>
      </c>
    </row>
    <row r="89">
      <c r="A89" t="inlineStr">
        <is>
          <t>2026-10-11</t>
        </is>
      </c>
      <c r="B89" t="inlineStr">
        <is>
          <t>Nasdaq</t>
        </is>
      </c>
      <c r="C89" t="n">
        <v>146</v>
      </c>
      <c r="D89" t="n">
        <v>145</v>
      </c>
      <c r="E89" t="n">
        <v>-0.516</v>
      </c>
      <c r="F89">
        <f>IF(B88=B89, IFERROR((E89-E88)/ABS(E88), "n/a"), "")</f>
        <v/>
      </c>
      <c r="G89" t="n">
        <v>31141.0625</v>
      </c>
    </row>
    <row r="90">
      <c r="A90" t="inlineStr">
        <is>
          <t>2026-10-12</t>
        </is>
      </c>
      <c r="B90" t="inlineStr">
        <is>
          <t>Nasdaq</t>
        </is>
      </c>
      <c r="C90" t="n">
        <v>74</v>
      </c>
      <c r="D90" t="n">
        <v>72</v>
      </c>
      <c r="E90" t="n">
        <v>1.744</v>
      </c>
      <c r="F90">
        <f>IF(B89=B90, IFERROR((E90-E89)/ABS(E89), "n/a"), "")</f>
        <v/>
      </c>
      <c r="G90" t="n">
        <v>31071.125</v>
      </c>
    </row>
    <row r="91">
      <c r="A91" t="inlineStr">
        <is>
          <t>2026-10-13</t>
        </is>
      </c>
      <c r="B91" t="inlineStr">
        <is>
          <t>Nasdaq</t>
        </is>
      </c>
      <c r="C91" t="n">
        <v>149</v>
      </c>
      <c r="D91" t="n">
        <v>147</v>
      </c>
      <c r="E91" t="n">
        <v>5.682</v>
      </c>
      <c r="F91">
        <f>IF(B90=B91, IFERROR((E91-E90)/ABS(E90), "n/a"), "")</f>
        <v/>
      </c>
      <c r="G91" t="n">
        <v>30713.8125</v>
      </c>
    </row>
    <row r="92">
      <c r="A92" t="inlineStr">
        <is>
          <t>2026-09-14</t>
        </is>
      </c>
      <c r="B92" t="inlineStr">
        <is>
          <t>Oil</t>
        </is>
      </c>
      <c r="C92" t="n">
        <v>240</v>
      </c>
      <c r="D92" t="n">
        <v>240</v>
      </c>
      <c r="E92" t="n">
        <v>3.844</v>
      </c>
      <c r="F92">
        <f>IF(B91=B92, IFERROR((E92-E91)/ABS(E91), "n/a"), "")</f>
        <v/>
      </c>
      <c r="G92" t="n">
        <v>102.566</v>
      </c>
    </row>
    <row r="93">
      <c r="A93" t="inlineStr">
        <is>
          <t>2026-09-15</t>
        </is>
      </c>
      <c r="B93" t="inlineStr">
        <is>
          <t>Oil</t>
        </is>
      </c>
      <c r="C93" t="n">
        <v>160</v>
      </c>
      <c r="D93" t="n">
        <v>160</v>
      </c>
      <c r="E93" t="n">
        <v>1.426</v>
      </c>
      <c r="F93">
        <f>IF(B92=B93, IFERROR((E93-E92)/ABS(E92), "n/a"), "")</f>
        <v/>
      </c>
      <c r="G93" t="n">
        <v>104.275</v>
      </c>
    </row>
    <row r="94">
      <c r="A94" t="inlineStr">
        <is>
          <t>2026-09-16</t>
        </is>
      </c>
      <c r="B94" t="inlineStr">
        <is>
          <t>Oil</t>
        </is>
      </c>
      <c r="C94" t="n">
        <v>160</v>
      </c>
      <c r="D94" t="n">
        <v>160</v>
      </c>
      <c r="E94" t="n">
        <v>1.484</v>
      </c>
      <c r="F94">
        <f>IF(B93=B94, IFERROR((E94-E93)/ABS(E93), "n/a"), "")</f>
        <v/>
      </c>
      <c r="G94" t="n">
        <v>103.3625</v>
      </c>
    </row>
    <row r="95">
      <c r="A95" t="inlineStr">
        <is>
          <t>2026-09-17</t>
        </is>
      </c>
      <c r="B95" t="inlineStr">
        <is>
          <t>Oil</t>
        </is>
      </c>
      <c r="C95" t="n">
        <v>160</v>
      </c>
      <c r="D95" t="n">
        <v>160</v>
      </c>
      <c r="E95" t="n">
        <v>2.468</v>
      </c>
      <c r="F95">
        <f>IF(B94=B95, IFERROR((E95-E94)/ABS(E94), "n/a"), "")</f>
        <v/>
      </c>
      <c r="G95" t="n">
        <v>101.475</v>
      </c>
    </row>
    <row r="96">
      <c r="A96" t="inlineStr">
        <is>
          <t>2026-09-18</t>
        </is>
      </c>
      <c r="B96" t="inlineStr">
        <is>
          <t>Oil</t>
        </is>
      </c>
      <c r="C96" t="n">
        <v>157</v>
      </c>
      <c r="D96" t="n">
        <v>160</v>
      </c>
      <c r="E96" t="n">
        <v>1.628</v>
      </c>
      <c r="F96">
        <f>IF(B95=B96, IFERROR((E96-E95)/ABS(E95), "n/a"), "")</f>
        <v/>
      </c>
      <c r="G96" t="n">
        <v>96.998</v>
      </c>
    </row>
    <row r="97">
      <c r="A97" t="inlineStr">
        <is>
          <t>2026-09-19</t>
        </is>
      </c>
      <c r="B97" t="inlineStr">
        <is>
          <t>Oil</t>
        </is>
      </c>
      <c r="C97" t="n">
        <v>199</v>
      </c>
      <c r="D97" t="n">
        <v>192</v>
      </c>
      <c r="E97" t="n">
        <v>-0.806</v>
      </c>
      <c r="F97">
        <f>IF(B96=B97, IFERROR((E97-E96)/ABS(E96), "n/a"), "")</f>
        <v/>
      </c>
      <c r="G97" t="n">
        <v>95.958</v>
      </c>
    </row>
    <row r="98">
      <c r="A98" t="inlineStr">
        <is>
          <t>2026-09-20</t>
        </is>
      </c>
      <c r="B98" t="inlineStr">
        <is>
          <t>Oil</t>
        </is>
      </c>
      <c r="C98" t="n">
        <v>200</v>
      </c>
      <c r="D98" t="n">
        <v>200</v>
      </c>
      <c r="E98" t="n">
        <v>-0.925</v>
      </c>
      <c r="F98">
        <f>IF(B97=B98, IFERROR((E98-E97)/ABS(E97), "n/a"), "")</f>
        <v/>
      </c>
      <c r="G98" t="n">
        <v>96.08</v>
      </c>
    </row>
    <row r="99">
      <c r="A99" t="inlineStr">
        <is>
          <t>2026-09-21</t>
        </is>
      </c>
      <c r="B99" t="inlineStr">
        <is>
          <t>Oil</t>
        </is>
      </c>
      <c r="C99" t="n">
        <v>160</v>
      </c>
      <c r="D99" t="n">
        <v>160</v>
      </c>
      <c r="E99" t="n">
        <v>0.485</v>
      </c>
      <c r="F99">
        <f>IF(B98=B99, IFERROR((E99-E98)/ABS(E98), "n/a"), "")</f>
        <v/>
      </c>
      <c r="G99" t="n">
        <v>93.07250000000001</v>
      </c>
    </row>
    <row r="100">
      <c r="A100" t="inlineStr">
        <is>
          <t>2026-09-22</t>
        </is>
      </c>
      <c r="B100" t="inlineStr">
        <is>
          <t>Oil</t>
        </is>
      </c>
      <c r="C100" t="n">
        <v>160</v>
      </c>
      <c r="D100" t="n">
        <v>160</v>
      </c>
      <c r="E100" t="n">
        <v>3.724</v>
      </c>
      <c r="F100">
        <f>IF(B99=B100, IFERROR((E100-E99)/ABS(E99), "n/a"), "")</f>
        <v/>
      </c>
      <c r="G100" t="n">
        <v>91.25749999999999</v>
      </c>
    </row>
    <row r="101">
      <c r="A101" t="inlineStr">
        <is>
          <t>2026-09-23</t>
        </is>
      </c>
      <c r="B101" t="inlineStr">
        <is>
          <t>Oil</t>
        </is>
      </c>
      <c r="C101" t="n">
        <v>160</v>
      </c>
      <c r="D101" t="n">
        <v>160</v>
      </c>
      <c r="E101" t="n">
        <v>1.56</v>
      </c>
      <c r="F101">
        <f>IF(B100=B101, IFERROR((E101-E100)/ABS(E100), "n/a"), "")</f>
        <v/>
      </c>
      <c r="G101" t="n">
        <v>91.13500000000001</v>
      </c>
    </row>
    <row r="102">
      <c r="A102" t="inlineStr">
        <is>
          <t>2026-09-24</t>
        </is>
      </c>
      <c r="B102" t="inlineStr">
        <is>
          <t>Oil</t>
        </is>
      </c>
      <c r="C102" t="n">
        <v>160</v>
      </c>
      <c r="D102" t="n">
        <v>160</v>
      </c>
      <c r="E102" t="n">
        <v>1.612</v>
      </c>
      <c r="F102">
        <f>IF(B101=B102, IFERROR((E102-E101)/ABS(E101), "n/a"), "")</f>
        <v/>
      </c>
      <c r="G102" t="n">
        <v>93.5275</v>
      </c>
    </row>
    <row r="103">
      <c r="A103" t="inlineStr">
        <is>
          <t>2026-09-25</t>
        </is>
      </c>
      <c r="B103" t="inlineStr">
        <is>
          <t>Oil</t>
        </is>
      </c>
      <c r="C103" t="n">
        <v>200</v>
      </c>
      <c r="D103" t="n">
        <v>200</v>
      </c>
      <c r="E103" t="n">
        <v>2.839</v>
      </c>
      <c r="F103">
        <f>IF(B102=B103, IFERROR((E103-E102)/ABS(E102), "n/a"), "")</f>
        <v/>
      </c>
      <c r="G103" t="n">
        <v>92.614</v>
      </c>
    </row>
    <row r="104">
      <c r="A104" t="inlineStr">
        <is>
          <t>2026-09-26</t>
        </is>
      </c>
      <c r="B104" t="inlineStr">
        <is>
          <t>Oil</t>
        </is>
      </c>
      <c r="C104" t="n">
        <v>200</v>
      </c>
      <c r="D104" t="n">
        <v>200</v>
      </c>
      <c r="E104" t="n">
        <v>2.774</v>
      </c>
      <c r="F104">
        <f>IF(B103=B104, IFERROR((E104-E103)/ABS(E103), "n/a"), "")</f>
        <v/>
      </c>
      <c r="G104" t="n">
        <v>92.416</v>
      </c>
    </row>
    <row r="105">
      <c r="A105" t="inlineStr">
        <is>
          <t>2026-09-27</t>
        </is>
      </c>
      <c r="B105" t="inlineStr">
        <is>
          <t>Oil</t>
        </is>
      </c>
      <c r="C105" t="n">
        <v>160</v>
      </c>
      <c r="D105" t="n">
        <v>160</v>
      </c>
      <c r="E105" t="n">
        <v>0.578</v>
      </c>
      <c r="F105">
        <f>IF(B104=B105, IFERROR((E105-E104)/ABS(E104), "n/a"), "")</f>
        <v/>
      </c>
      <c r="G105" t="n">
        <v>92.7</v>
      </c>
    </row>
    <row r="106">
      <c r="A106" t="inlineStr">
        <is>
          <t>2026-09-28</t>
        </is>
      </c>
      <c r="B106" t="inlineStr">
        <is>
          <t>Oil</t>
        </is>
      </c>
      <c r="C106" t="n">
        <v>80</v>
      </c>
      <c r="D106" t="n">
        <v>80</v>
      </c>
      <c r="E106" t="n">
        <v>-0.452</v>
      </c>
      <c r="F106">
        <f>IF(B105=B106, IFERROR((E106-E105)/ABS(E105), "n/a"), "")</f>
        <v/>
      </c>
      <c r="G106" t="n">
        <v>93.16500000000001</v>
      </c>
    </row>
    <row r="107">
      <c r="A107" t="inlineStr">
        <is>
          <t>2026-09-29</t>
        </is>
      </c>
      <c r="B107" t="inlineStr">
        <is>
          <t>Oil</t>
        </is>
      </c>
      <c r="C107" t="n">
        <v>160</v>
      </c>
      <c r="D107" t="n">
        <v>160</v>
      </c>
      <c r="E107" t="n">
        <v>3.116</v>
      </c>
      <c r="F107">
        <f>IF(B106=B107, IFERROR((E107-E106)/ABS(E106), "n/a"), "")</f>
        <v/>
      </c>
      <c r="G107" t="n">
        <v>91.3475</v>
      </c>
    </row>
    <row r="108">
      <c r="A108" t="inlineStr">
        <is>
          <t>2026-09-30</t>
        </is>
      </c>
      <c r="B108" t="inlineStr">
        <is>
          <t>Oil</t>
        </is>
      </c>
      <c r="C108" t="n">
        <v>120</v>
      </c>
      <c r="D108" t="n">
        <v>120</v>
      </c>
      <c r="E108" t="n">
        <v>3.837</v>
      </c>
      <c r="F108">
        <f>IF(B107=B108, IFERROR((E108-E107)/ABS(E107), "n/a"), "")</f>
        <v/>
      </c>
      <c r="G108" t="n">
        <v>90.4667</v>
      </c>
    </row>
    <row r="109">
      <c r="A109" t="inlineStr">
        <is>
          <t>2026-10-01</t>
        </is>
      </c>
      <c r="B109" t="inlineStr">
        <is>
          <t>Oil</t>
        </is>
      </c>
      <c r="C109" t="n">
        <v>120</v>
      </c>
      <c r="D109" t="n">
        <v>120</v>
      </c>
      <c r="E109" t="n">
        <v>5.008</v>
      </c>
      <c r="F109">
        <f>IF(B108=B109, IFERROR((E109-E108)/ABS(E108), "n/a"), "")</f>
        <v/>
      </c>
      <c r="G109" t="n">
        <v>91.4867</v>
      </c>
    </row>
    <row r="110">
      <c r="A110" t="inlineStr">
        <is>
          <t>2026-10-02</t>
        </is>
      </c>
      <c r="B110" t="inlineStr">
        <is>
          <t>Oil</t>
        </is>
      </c>
      <c r="C110" t="n">
        <v>120</v>
      </c>
      <c r="D110" t="n">
        <v>120</v>
      </c>
      <c r="E110" t="n">
        <v>5.458</v>
      </c>
      <c r="F110">
        <f>IF(B109=B110, IFERROR((E110-E109)/ABS(E109), "n/a"), "")</f>
        <v/>
      </c>
      <c r="G110" t="n">
        <v>90.88330000000001</v>
      </c>
    </row>
    <row r="111">
      <c r="A111" t="inlineStr">
        <is>
          <t>2026-10-03</t>
        </is>
      </c>
      <c r="B111" t="inlineStr">
        <is>
          <t>Oil</t>
        </is>
      </c>
      <c r="C111" t="n">
        <v>160</v>
      </c>
      <c r="D111" t="n">
        <v>160</v>
      </c>
      <c r="E111" t="n">
        <v>1.557</v>
      </c>
      <c r="F111">
        <f>IF(B110=B111, IFERROR((E111-E110)/ABS(E110), "n/a"), "")</f>
        <v/>
      </c>
      <c r="G111" t="n">
        <v>91.14749999999999</v>
      </c>
    </row>
    <row r="112">
      <c r="A112" t="inlineStr">
        <is>
          <t>2026-10-04</t>
        </is>
      </c>
      <c r="B112" t="inlineStr">
        <is>
          <t>Oil</t>
        </is>
      </c>
      <c r="C112" t="n">
        <v>160</v>
      </c>
      <c r="D112" t="n">
        <v>160</v>
      </c>
      <c r="E112" t="n">
        <v>2.22</v>
      </c>
      <c r="F112">
        <f>IF(B111=B112, IFERROR((E112-E111)/ABS(E111), "n/a"), "")</f>
        <v/>
      </c>
      <c r="G112" t="n">
        <v>91.12</v>
      </c>
    </row>
    <row r="113">
      <c r="A113" t="inlineStr">
        <is>
          <t>2026-10-05</t>
        </is>
      </c>
      <c r="B113" t="inlineStr">
        <is>
          <t>Oil</t>
        </is>
      </c>
      <c r="C113" t="n">
        <v>80</v>
      </c>
      <c r="D113" t="n">
        <v>80</v>
      </c>
      <c r="E113" t="n">
        <v>3.079</v>
      </c>
      <c r="F113">
        <f>IF(B112=B113, IFERROR((E113-E112)/ABS(E112), "n/a"), "")</f>
        <v/>
      </c>
      <c r="G113" t="n">
        <v>89.875</v>
      </c>
    </row>
    <row r="114">
      <c r="A114" t="inlineStr">
        <is>
          <t>2026-10-06</t>
        </is>
      </c>
      <c r="B114" t="inlineStr">
        <is>
          <t>Oil</t>
        </is>
      </c>
      <c r="C114" t="n">
        <v>160</v>
      </c>
      <c r="D114" t="n">
        <v>160</v>
      </c>
      <c r="E114" t="n">
        <v>2.154</v>
      </c>
      <c r="F114">
        <f>IF(B113=B114, IFERROR((E114-E113)/ABS(E113), "n/a"), "")</f>
        <v/>
      </c>
      <c r="G114" t="n">
        <v>89.0125</v>
      </c>
    </row>
    <row r="115">
      <c r="A115" t="inlineStr">
        <is>
          <t>2026-10-07</t>
        </is>
      </c>
      <c r="B115" t="inlineStr">
        <is>
          <t>Oil</t>
        </is>
      </c>
      <c r="C115" t="n">
        <v>80</v>
      </c>
      <c r="D115" t="n">
        <v>80</v>
      </c>
      <c r="E115" t="n">
        <v>1.294</v>
      </c>
      <c r="F115">
        <f>IF(B114=B115, IFERROR((E115-E114)/ABS(E114), "n/a"), "")</f>
        <v/>
      </c>
      <c r="G115" t="n">
        <v>89.56</v>
      </c>
    </row>
    <row r="116">
      <c r="A116" t="inlineStr">
        <is>
          <t>2026-10-08</t>
        </is>
      </c>
      <c r="B116" t="inlineStr">
        <is>
          <t>Oil</t>
        </is>
      </c>
      <c r="C116" t="n">
        <v>120</v>
      </c>
      <c r="D116" t="n">
        <v>120</v>
      </c>
      <c r="E116" t="n">
        <v>3.224</v>
      </c>
      <c r="F116">
        <f>IF(B115=B116, IFERROR((E116-E115)/ABS(E115), "n/a"), "")</f>
        <v/>
      </c>
      <c r="G116" t="n">
        <v>91.2867</v>
      </c>
    </row>
    <row r="117">
      <c r="A117" t="inlineStr">
        <is>
          <t>2026-10-09</t>
        </is>
      </c>
      <c r="B117" t="inlineStr">
        <is>
          <t>Oil</t>
        </is>
      </c>
      <c r="C117" t="n">
        <v>120</v>
      </c>
      <c r="D117" t="n">
        <v>120</v>
      </c>
      <c r="E117" t="n">
        <v>2.528</v>
      </c>
      <c r="F117">
        <f>IF(B116=B117, IFERROR((E117-E116)/ABS(E116), "n/a"), "")</f>
        <v/>
      </c>
      <c r="G117" t="n">
        <v>91.1867</v>
      </c>
    </row>
    <row r="118">
      <c r="A118" t="inlineStr">
        <is>
          <t>2026-10-10</t>
        </is>
      </c>
      <c r="B118" t="inlineStr">
        <is>
          <t>Oil</t>
        </is>
      </c>
      <c r="C118" t="n">
        <v>160</v>
      </c>
      <c r="D118" t="n">
        <v>160</v>
      </c>
      <c r="E118" t="n">
        <v>2.922</v>
      </c>
      <c r="F118">
        <f>IF(B117=B118, IFERROR((E118-E117)/ABS(E117), "n/a"), "")</f>
        <v/>
      </c>
      <c r="G118" t="n">
        <v>91.80249999999999</v>
      </c>
    </row>
    <row r="119">
      <c r="A119" t="inlineStr">
        <is>
          <t>2026-10-11</t>
        </is>
      </c>
      <c r="B119" t="inlineStr">
        <is>
          <t>Oil</t>
        </is>
      </c>
      <c r="C119" t="n">
        <v>152</v>
      </c>
      <c r="D119" t="n">
        <v>160</v>
      </c>
      <c r="E119" t="n">
        <v>3.45</v>
      </c>
      <c r="F119">
        <f>IF(B118=B119, IFERROR((E119-E118)/ABS(E118), "n/a"), "")</f>
        <v/>
      </c>
      <c r="G119" t="n">
        <v>91.8325</v>
      </c>
    </row>
    <row r="120">
      <c r="A120" t="inlineStr">
        <is>
          <t>2026-10-12</t>
        </is>
      </c>
      <c r="B120" t="inlineStr">
        <is>
          <t>Oil</t>
        </is>
      </c>
      <c r="C120" t="n">
        <v>80</v>
      </c>
      <c r="D120" t="n">
        <v>80</v>
      </c>
      <c r="E120" t="n">
        <v>4.514</v>
      </c>
      <c r="F120">
        <f>IF(B119=B120, IFERROR((E120-E119)/ABS(E119), "n/a"), "")</f>
        <v/>
      </c>
      <c r="G120" t="n">
        <v>92.06</v>
      </c>
    </row>
    <row r="121">
      <c r="A121" t="inlineStr">
        <is>
          <t>2026-10-13</t>
        </is>
      </c>
      <c r="B121" t="inlineStr">
        <is>
          <t>Oil</t>
        </is>
      </c>
      <c r="C121" t="n">
        <v>160</v>
      </c>
      <c r="D121" t="n">
        <v>160</v>
      </c>
      <c r="E121" t="n">
        <v>3.841</v>
      </c>
      <c r="F121">
        <f>IF(B120=B121, IFERROR((E121-E120)/ABS(E120), "n/a"), "")</f>
        <v/>
      </c>
      <c r="G121" t="n">
        <v>93.3925</v>
      </c>
    </row>
    <row r="122">
      <c r="A122" t="inlineStr">
        <is>
          <t>2026-09-14</t>
        </is>
      </c>
      <c r="B122" t="inlineStr">
        <is>
          <t>S&amp;P 500</t>
        </is>
      </c>
      <c r="C122" t="n">
        <v>228</v>
      </c>
      <c r="D122" t="n">
        <v>237</v>
      </c>
      <c r="E122" t="n">
        <v>-1.22</v>
      </c>
      <c r="F122">
        <f>IF(B121=B122, IFERROR((E122-E121)/ABS(E121), "n/a"), "")</f>
        <v/>
      </c>
      <c r="G122" t="n">
        <v>7645.15</v>
      </c>
    </row>
    <row r="123">
      <c r="A123" t="inlineStr">
        <is>
          <t>2026-09-15</t>
        </is>
      </c>
      <c r="B123" t="inlineStr">
        <is>
          <t>S&amp;P 500</t>
        </is>
      </c>
      <c r="C123" t="n">
        <v>154</v>
      </c>
      <c r="D123" t="n">
        <v>155</v>
      </c>
      <c r="E123" t="n">
        <v>-1.495</v>
      </c>
      <c r="F123">
        <f>IF(B122=B123, IFERROR((E123-E122)/ABS(E122), "n/a"), "")</f>
        <v/>
      </c>
      <c r="G123" t="n">
        <v>7664</v>
      </c>
    </row>
    <row r="124">
      <c r="A124" t="inlineStr">
        <is>
          <t>2026-09-16</t>
        </is>
      </c>
      <c r="B124" t="inlineStr">
        <is>
          <t>S&amp;P 500</t>
        </is>
      </c>
      <c r="C124" t="n">
        <v>153</v>
      </c>
      <c r="D124" t="n">
        <v>155</v>
      </c>
      <c r="E124" t="n">
        <v>3.536</v>
      </c>
      <c r="F124">
        <f>IF(B123=B124, IFERROR((E124-E123)/ABS(E123), "n/a"), "")</f>
        <v/>
      </c>
      <c r="G124" t="n">
        <v>7665.9375</v>
      </c>
    </row>
    <row r="125">
      <c r="A125" t="inlineStr">
        <is>
          <t>2026-09-17</t>
        </is>
      </c>
      <c r="B125" t="inlineStr">
        <is>
          <t>S&amp;P 500</t>
        </is>
      </c>
      <c r="C125" t="n">
        <v>155</v>
      </c>
      <c r="D125" t="n">
        <v>158</v>
      </c>
      <c r="E125" t="n">
        <v>0.912</v>
      </c>
      <c r="F125">
        <f>IF(B124=B125, IFERROR((E125-E124)/ABS(E124), "n/a"), "")</f>
        <v/>
      </c>
      <c r="G125" t="n">
        <v>7689.6875</v>
      </c>
    </row>
    <row r="126">
      <c r="A126" t="inlineStr">
        <is>
          <t>2026-09-18</t>
        </is>
      </c>
      <c r="B126" t="inlineStr">
        <is>
          <t>S&amp;P 500</t>
        </is>
      </c>
      <c r="C126" t="n">
        <v>160</v>
      </c>
      <c r="D126" t="n">
        <v>160</v>
      </c>
      <c r="E126" t="n">
        <v>3.252</v>
      </c>
      <c r="F126">
        <f>IF(B125=B126, IFERROR((E126-E125)/ABS(E125), "n/a"), "")</f>
        <v/>
      </c>
      <c r="G126" t="n">
        <v>7712.55</v>
      </c>
    </row>
    <row r="127">
      <c r="A127" t="inlineStr">
        <is>
          <t>2026-09-19</t>
        </is>
      </c>
      <c r="B127" t="inlineStr">
        <is>
          <t>S&amp;P 500</t>
        </is>
      </c>
      <c r="C127" t="n">
        <v>200</v>
      </c>
      <c r="D127" t="n">
        <v>200</v>
      </c>
      <c r="E127" t="n">
        <v>2.97</v>
      </c>
      <c r="F127">
        <f>IF(B126=B127, IFERROR((E127-E126)/ABS(E126), "n/a"), "")</f>
        <v/>
      </c>
      <c r="G127" t="n">
        <v>7712.5</v>
      </c>
    </row>
    <row r="128">
      <c r="A128" t="inlineStr">
        <is>
          <t>2026-09-20</t>
        </is>
      </c>
      <c r="B128" t="inlineStr">
        <is>
          <t>S&amp;P 500</t>
        </is>
      </c>
      <c r="C128" t="n">
        <v>199</v>
      </c>
      <c r="D128" t="n">
        <v>200</v>
      </c>
      <c r="E128" t="n">
        <v>3.994</v>
      </c>
      <c r="F128">
        <f>IF(B127=B128, IFERROR((E128-E127)/ABS(E127), "n/a"), "")</f>
        <v/>
      </c>
      <c r="G128" t="n">
        <v>7712.5</v>
      </c>
    </row>
    <row r="129">
      <c r="A129" t="inlineStr">
        <is>
          <t>2026-09-21</t>
        </is>
      </c>
      <c r="B129" t="inlineStr">
        <is>
          <t>S&amp;P 500</t>
        </is>
      </c>
      <c r="C129" t="n">
        <v>159</v>
      </c>
      <c r="D129" t="n">
        <v>160</v>
      </c>
      <c r="E129" t="n">
        <v>0.102</v>
      </c>
      <c r="F129">
        <f>IF(B128=B129, IFERROR((E129-E128)/ABS(E128), "n/a"), "")</f>
        <v/>
      </c>
      <c r="G129" t="n">
        <v>7791.875</v>
      </c>
    </row>
    <row r="130">
      <c r="A130" t="inlineStr">
        <is>
          <t>2026-09-22</t>
        </is>
      </c>
      <c r="B130" t="inlineStr">
        <is>
          <t>S&amp;P 500</t>
        </is>
      </c>
      <c r="C130" t="n">
        <v>157</v>
      </c>
      <c r="D130" t="n">
        <v>160</v>
      </c>
      <c r="E130" t="n">
        <v>-0.046</v>
      </c>
      <c r="F130">
        <f>IF(B129=B130, IFERROR((E130-E129)/ABS(E129), "n/a"), "")</f>
        <v/>
      </c>
      <c r="G130" t="n">
        <v>7832</v>
      </c>
    </row>
    <row r="131">
      <c r="A131" t="inlineStr">
        <is>
          <t>2026-09-23</t>
        </is>
      </c>
      <c r="B131" t="inlineStr">
        <is>
          <t>S&amp;P 500</t>
        </is>
      </c>
      <c r="C131" t="n">
        <v>158</v>
      </c>
      <c r="D131" t="n">
        <v>160</v>
      </c>
      <c r="E131" t="n">
        <v>1.063</v>
      </c>
      <c r="F131">
        <f>IF(B130=B131, IFERROR((E131-E130)/ABS(E130), "n/a"), "")</f>
        <v/>
      </c>
      <c r="G131" t="n">
        <v>7806.6875</v>
      </c>
    </row>
    <row r="132">
      <c r="A132" t="inlineStr">
        <is>
          <t>2026-09-24</t>
        </is>
      </c>
      <c r="B132" t="inlineStr">
        <is>
          <t>S&amp;P 500</t>
        </is>
      </c>
      <c r="C132" t="n">
        <v>157</v>
      </c>
      <c r="D132" t="n">
        <v>160</v>
      </c>
      <c r="E132" t="n">
        <v>3.976</v>
      </c>
      <c r="F132">
        <f>IF(B131=B132, IFERROR((E132-E131)/ABS(E131), "n/a"), "")</f>
        <v/>
      </c>
      <c r="G132" t="n">
        <v>7748.875</v>
      </c>
    </row>
    <row r="133">
      <c r="A133" t="inlineStr">
        <is>
          <t>2026-09-25</t>
        </is>
      </c>
      <c r="B133" t="inlineStr">
        <is>
          <t>S&amp;P 500</t>
        </is>
      </c>
      <c r="C133" t="n">
        <v>196</v>
      </c>
      <c r="D133" t="n">
        <v>192</v>
      </c>
      <c r="E133" t="n">
        <v>1.072</v>
      </c>
      <c r="F133">
        <f>IF(B132=B133, IFERROR((E133-E132)/ABS(E132), "n/a"), "")</f>
        <v/>
      </c>
      <c r="G133" t="n">
        <v>7794</v>
      </c>
    </row>
    <row r="134">
      <c r="A134" t="inlineStr">
        <is>
          <t>2026-09-26</t>
        </is>
      </c>
      <c r="B134" t="inlineStr">
        <is>
          <t>S&amp;P 500</t>
        </is>
      </c>
      <c r="C134" t="n">
        <v>199</v>
      </c>
      <c r="D134" t="n">
        <v>200</v>
      </c>
      <c r="E134" t="n">
        <v>-0.5649999999999999</v>
      </c>
      <c r="F134">
        <f>IF(B133=B134, IFERROR((E134-E133)/ABS(E133), "n/a"), "")</f>
        <v/>
      </c>
      <c r="G134" t="n">
        <v>7804.15</v>
      </c>
    </row>
    <row r="135">
      <c r="A135" t="inlineStr">
        <is>
          <t>2026-09-27</t>
        </is>
      </c>
      <c r="B135" t="inlineStr">
        <is>
          <t>S&amp;P 500</t>
        </is>
      </c>
      <c r="C135" t="n">
        <v>158</v>
      </c>
      <c r="D135" t="n">
        <v>160</v>
      </c>
      <c r="E135" t="n">
        <v>6.14</v>
      </c>
      <c r="F135">
        <f>IF(B134=B135, IFERROR((E135-E134)/ABS(E134), "n/a"), "")</f>
        <v/>
      </c>
      <c r="G135" t="n">
        <v>7798.625</v>
      </c>
    </row>
    <row r="136">
      <c r="A136" t="inlineStr">
        <is>
          <t>2026-09-28</t>
        </is>
      </c>
      <c r="B136" t="inlineStr">
        <is>
          <t>S&amp;P 500</t>
        </is>
      </c>
      <c r="C136" t="n">
        <v>78</v>
      </c>
      <c r="D136" t="n">
        <v>80</v>
      </c>
      <c r="E136" t="n">
        <v>8.507999999999999</v>
      </c>
      <c r="F136">
        <f>IF(B135=B136, IFERROR((E136-E135)/ABS(E135), "n/a"), "")</f>
        <v/>
      </c>
      <c r="G136" t="n">
        <v>7770</v>
      </c>
    </row>
    <row r="137">
      <c r="A137" t="inlineStr">
        <is>
          <t>2026-09-29</t>
        </is>
      </c>
      <c r="B137" t="inlineStr">
        <is>
          <t>S&amp;P 500</t>
        </is>
      </c>
      <c r="C137" t="n">
        <v>156</v>
      </c>
      <c r="D137" t="n">
        <v>159</v>
      </c>
      <c r="E137" t="n">
        <v>8.119999999999999</v>
      </c>
      <c r="F137">
        <f>IF(B136=B137, IFERROR((E137-E136)/ABS(E136), "n/a"), "")</f>
        <v/>
      </c>
      <c r="G137" t="n">
        <v>7739.25</v>
      </c>
    </row>
    <row r="138">
      <c r="A138" t="inlineStr">
        <is>
          <t>2026-09-30</t>
        </is>
      </c>
      <c r="B138" t="inlineStr">
        <is>
          <t>S&amp;P 500</t>
        </is>
      </c>
      <c r="C138" t="n">
        <v>117</v>
      </c>
      <c r="D138" t="n">
        <v>119</v>
      </c>
      <c r="E138" t="n">
        <v>7.649</v>
      </c>
      <c r="F138">
        <f>IF(B137=B138, IFERROR((E138-E137)/ABS(E137), "n/a"), "")</f>
        <v/>
      </c>
      <c r="G138" t="n">
        <v>7745.6667</v>
      </c>
    </row>
    <row r="139">
      <c r="A139" t="inlineStr">
        <is>
          <t>2026-10-01</t>
        </is>
      </c>
      <c r="B139" t="inlineStr">
        <is>
          <t>S&amp;P 500</t>
        </is>
      </c>
      <c r="C139" t="n">
        <v>115</v>
      </c>
      <c r="D139" t="n">
        <v>120</v>
      </c>
      <c r="E139" t="n">
        <v>8.207000000000001</v>
      </c>
      <c r="F139">
        <f>IF(B138=B139, IFERROR((E139-E138)/ABS(E138), "n/a"), "")</f>
        <v/>
      </c>
      <c r="G139" t="n">
        <v>7718.5</v>
      </c>
    </row>
    <row r="140">
      <c r="A140" t="inlineStr">
        <is>
          <t>2026-10-02</t>
        </is>
      </c>
      <c r="B140" t="inlineStr">
        <is>
          <t>S&amp;P 500</t>
        </is>
      </c>
      <c r="C140" t="n">
        <v>114</v>
      </c>
      <c r="D140" t="n">
        <v>120</v>
      </c>
      <c r="E140" t="n">
        <v>6.817</v>
      </c>
      <c r="F140">
        <f>IF(B139=B140, IFERROR((E140-E139)/ABS(E139), "n/a"), "")</f>
        <v/>
      </c>
      <c r="G140" t="n">
        <v>7776.5</v>
      </c>
    </row>
    <row r="141">
      <c r="A141" t="inlineStr">
        <is>
          <t>2026-10-03</t>
        </is>
      </c>
      <c r="B141" t="inlineStr">
        <is>
          <t>S&amp;P 500</t>
        </is>
      </c>
      <c r="C141" t="n">
        <v>156</v>
      </c>
      <c r="D141" t="n">
        <v>159</v>
      </c>
      <c r="E141" t="n">
        <v>6.478</v>
      </c>
      <c r="F141">
        <f>IF(B140=B141, IFERROR((E141-E140)/ABS(E140), "n/a"), "")</f>
        <v/>
      </c>
      <c r="G141" t="n">
        <v>7777.0625</v>
      </c>
    </row>
    <row r="142">
      <c r="A142" t="inlineStr">
        <is>
          <t>2026-10-04</t>
        </is>
      </c>
      <c r="B142" t="inlineStr">
        <is>
          <t>S&amp;P 500</t>
        </is>
      </c>
      <c r="C142" t="n">
        <v>152</v>
      </c>
      <c r="D142" t="n">
        <v>158</v>
      </c>
      <c r="E142" t="n">
        <v>7.192</v>
      </c>
      <c r="F142">
        <f>IF(B141=B142, IFERROR((E142-E141)/ABS(E141), "n/a"), "")</f>
        <v/>
      </c>
      <c r="G142" t="n">
        <v>7779.75</v>
      </c>
    </row>
    <row r="143">
      <c r="A143" t="inlineStr">
        <is>
          <t>2026-10-05</t>
        </is>
      </c>
      <c r="B143" t="inlineStr">
        <is>
          <t>S&amp;P 500</t>
        </is>
      </c>
      <c r="C143" t="n">
        <v>77</v>
      </c>
      <c r="D143" t="n">
        <v>79</v>
      </c>
      <c r="E143" t="n">
        <v>7.176</v>
      </c>
      <c r="F143">
        <f>IF(B142=B143, IFERROR((E143-E142)/ABS(E142), "n/a"), "")</f>
        <v/>
      </c>
      <c r="G143" t="n">
        <v>7798.125</v>
      </c>
    </row>
    <row r="144">
      <c r="A144" t="inlineStr">
        <is>
          <t>2026-10-06</t>
        </is>
      </c>
      <c r="B144" t="inlineStr">
        <is>
          <t>S&amp;P 500</t>
        </is>
      </c>
      <c r="C144" t="n">
        <v>155</v>
      </c>
      <c r="D144" t="n">
        <v>160</v>
      </c>
      <c r="E144" t="n">
        <v>4.085</v>
      </c>
      <c r="F144">
        <f>IF(B143=B144, IFERROR((E144-E143)/ABS(E143), "n/a"), "")</f>
        <v/>
      </c>
      <c r="G144" t="n">
        <v>7861.9375</v>
      </c>
    </row>
    <row r="145">
      <c r="A145" t="inlineStr">
        <is>
          <t>2026-10-07</t>
        </is>
      </c>
      <c r="B145" t="inlineStr">
        <is>
          <t>S&amp;P 500</t>
        </is>
      </c>
      <c r="C145" t="n">
        <v>79</v>
      </c>
      <c r="D145" t="n">
        <v>79</v>
      </c>
      <c r="E145" t="n">
        <v>2.434</v>
      </c>
      <c r="F145">
        <f>IF(B144=B145, IFERROR((E145-E144)/ABS(E144), "n/a"), "")</f>
        <v/>
      </c>
      <c r="G145" t="n">
        <v>7864.125</v>
      </c>
    </row>
    <row r="146">
      <c r="A146" t="inlineStr">
        <is>
          <t>2026-10-08</t>
        </is>
      </c>
      <c r="B146" t="inlineStr">
        <is>
          <t>S&amp;P 500</t>
        </is>
      </c>
      <c r="C146" t="n">
        <v>118</v>
      </c>
      <c r="D146" t="n">
        <v>120</v>
      </c>
      <c r="E146" t="n">
        <v>5.102</v>
      </c>
      <c r="F146">
        <f>IF(B145=B146, IFERROR((E146-E145)/ABS(E145), "n/a"), "")</f>
        <v/>
      </c>
      <c r="G146" t="n">
        <v>7834.25</v>
      </c>
    </row>
    <row r="147">
      <c r="A147" t="inlineStr">
        <is>
          <t>2026-10-09</t>
        </is>
      </c>
      <c r="B147" t="inlineStr">
        <is>
          <t>S&amp;P 500</t>
        </is>
      </c>
      <c r="C147" t="n">
        <v>115</v>
      </c>
      <c r="D147" t="n">
        <v>119</v>
      </c>
      <c r="E147" t="n">
        <v>1.185</v>
      </c>
      <c r="F147">
        <f>IF(B146=B147, IFERROR((E147-E146)/ABS(E146), "n/a"), "")</f>
        <v/>
      </c>
      <c r="G147" t="n">
        <v>7848.4167</v>
      </c>
    </row>
    <row r="148">
      <c r="A148" t="inlineStr">
        <is>
          <t>2026-10-10</t>
        </is>
      </c>
      <c r="B148" t="inlineStr">
        <is>
          <t>S&amp;P 500</t>
        </is>
      </c>
      <c r="C148" t="n">
        <v>153</v>
      </c>
      <c r="D148" t="n">
        <v>160</v>
      </c>
      <c r="E148" t="n">
        <v>1.827</v>
      </c>
      <c r="F148">
        <f>IF(B147=B148, IFERROR((E148-E147)/ABS(E147), "n/a"), "")</f>
        <v/>
      </c>
      <c r="G148" t="n">
        <v>7861.3125</v>
      </c>
    </row>
    <row r="149">
      <c r="A149" t="inlineStr">
        <is>
          <t>2026-10-11</t>
        </is>
      </c>
      <c r="B149" t="inlineStr">
        <is>
          <t>S&amp;P 500</t>
        </is>
      </c>
      <c r="C149" t="n">
        <v>155</v>
      </c>
      <c r="D149" t="n">
        <v>157</v>
      </c>
      <c r="E149" t="n">
        <v>5.242</v>
      </c>
      <c r="F149">
        <f>IF(B148=B149, IFERROR((E149-E148)/ABS(E148), "n/a"), "")</f>
        <v/>
      </c>
      <c r="G149" t="n">
        <v>7863.5625</v>
      </c>
    </row>
    <row r="150">
      <c r="A150" t="inlineStr">
        <is>
          <t>2026-10-12</t>
        </is>
      </c>
      <c r="B150" t="inlineStr">
        <is>
          <t>S&amp;P 500</t>
        </is>
      </c>
      <c r="C150" t="n">
        <v>77</v>
      </c>
      <c r="D150" t="n">
        <v>79</v>
      </c>
      <c r="E150" t="n">
        <v>6.429</v>
      </c>
      <c r="F150">
        <f>IF(B149=B150, IFERROR((E150-E149)/ABS(E149), "n/a"), "")</f>
        <v/>
      </c>
      <c r="G150" t="n">
        <v>7870.5</v>
      </c>
    </row>
    <row r="151">
      <c r="A151" t="inlineStr">
        <is>
          <t>2026-10-13</t>
        </is>
      </c>
      <c r="B151" t="inlineStr">
        <is>
          <t>S&amp;P 500</t>
        </is>
      </c>
      <c r="C151" t="n">
        <v>156</v>
      </c>
      <c r="D151" t="n">
        <v>160</v>
      </c>
      <c r="E151" t="n">
        <v>4.642</v>
      </c>
      <c r="F151">
        <f>IF(B150=B151, IFERROR((E151-E150)/ABS(E150), "n/a"), "")</f>
        <v/>
      </c>
      <c r="G151" t="n">
        <v>7849.25</v>
      </c>
    </row>
    <row r="152">
      <c r="A152" t="inlineStr">
        <is>
          <t>2026-09-14</t>
        </is>
      </c>
      <c r="B152" t="inlineStr">
        <is>
          <t>US Dollar</t>
        </is>
      </c>
      <c r="C152" t="n">
        <v>224</v>
      </c>
      <c r="D152" t="n">
        <v>232</v>
      </c>
      <c r="E152" t="n">
        <v>4.065</v>
      </c>
      <c r="F152">
        <f>IF(B151=B152, IFERROR((E152-E151)/ABS(E151), "n/a"), "")</f>
        <v/>
      </c>
      <c r="G152" t="n">
        <v>99.5022</v>
      </c>
    </row>
    <row r="153">
      <c r="A153" t="inlineStr">
        <is>
          <t>2026-09-15</t>
        </is>
      </c>
      <c r="B153" t="inlineStr">
        <is>
          <t>US Dollar</t>
        </is>
      </c>
      <c r="C153" t="n">
        <v>152</v>
      </c>
      <c r="D153" t="n">
        <v>158</v>
      </c>
      <c r="E153" t="n">
        <v>1.065</v>
      </c>
      <c r="F153">
        <f>IF(B152=B153, IFERROR((E153-E152)/ABS(E152), "n/a"), "")</f>
        <v/>
      </c>
      <c r="G153" t="n">
        <v>99.6268</v>
      </c>
    </row>
    <row r="154">
      <c r="A154" t="inlineStr">
        <is>
          <t>2026-09-16</t>
        </is>
      </c>
      <c r="B154" t="inlineStr">
        <is>
          <t>US Dollar</t>
        </is>
      </c>
      <c r="C154" t="n">
        <v>155</v>
      </c>
      <c r="D154" t="n">
        <v>158</v>
      </c>
      <c r="E154" t="n">
        <v>2.599</v>
      </c>
      <c r="F154">
        <f>IF(B153=B154, IFERROR((E154-E153)/ABS(E153), "n/a"), "")</f>
        <v/>
      </c>
      <c r="G154" t="n">
        <v>99.84050000000001</v>
      </c>
    </row>
    <row r="155">
      <c r="A155" t="inlineStr">
        <is>
          <t>2026-09-17</t>
        </is>
      </c>
      <c r="B155" t="inlineStr">
        <is>
          <t>US Dollar</t>
        </is>
      </c>
      <c r="C155" t="n">
        <v>156</v>
      </c>
      <c r="D155" t="n">
        <v>158</v>
      </c>
      <c r="E155" t="n">
        <v>1.162</v>
      </c>
      <c r="F155">
        <f>IF(B154=B155, IFERROR((E155-E154)/ABS(E154), "n/a"), "")</f>
        <v/>
      </c>
      <c r="G155" t="n">
        <v>100.241</v>
      </c>
    </row>
    <row r="156">
      <c r="A156" t="inlineStr">
        <is>
          <t>2026-09-18</t>
        </is>
      </c>
      <c r="B156" t="inlineStr">
        <is>
          <t>US Dollar</t>
        </is>
      </c>
      <c r="C156" t="n">
        <v>156</v>
      </c>
      <c r="D156" t="n">
        <v>156</v>
      </c>
      <c r="E156" t="n">
        <v>3.518</v>
      </c>
      <c r="F156">
        <f>IF(B155=B156, IFERROR((E156-E155)/ABS(E155), "n/a"), "")</f>
        <v/>
      </c>
      <c r="G156" t="n">
        <v>100.2984</v>
      </c>
    </row>
    <row r="157">
      <c r="A157" t="inlineStr">
        <is>
          <t>2026-09-19</t>
        </is>
      </c>
      <c r="B157" t="inlineStr">
        <is>
          <t>US Dollar</t>
        </is>
      </c>
      <c r="C157" t="n">
        <v>193</v>
      </c>
      <c r="D157" t="n">
        <v>197</v>
      </c>
      <c r="E157" t="n">
        <v>4.516</v>
      </c>
      <c r="F157">
        <f>IF(B156=B157, IFERROR((E157-E156)/ABS(E156), "n/a"), "")</f>
        <v/>
      </c>
      <c r="G157" t="n">
        <v>100.215</v>
      </c>
    </row>
    <row r="158">
      <c r="A158" t="inlineStr">
        <is>
          <t>2026-09-20</t>
        </is>
      </c>
      <c r="B158" t="inlineStr">
        <is>
          <t>US Dollar</t>
        </is>
      </c>
      <c r="C158" t="n">
        <v>195</v>
      </c>
      <c r="D158" t="n">
        <v>199</v>
      </c>
      <c r="E158" t="n">
        <v>4.616</v>
      </c>
      <c r="F158">
        <f>IF(B157=B158, IFERROR((E158-E157)/ABS(E157), "n/a"), "")</f>
        <v/>
      </c>
      <c r="G158" t="n">
        <v>100.214</v>
      </c>
    </row>
    <row r="159">
      <c r="A159" t="inlineStr">
        <is>
          <t>2026-09-21</t>
        </is>
      </c>
      <c r="B159" t="inlineStr">
        <is>
          <t>US Dollar</t>
        </is>
      </c>
      <c r="C159" t="n">
        <v>156</v>
      </c>
      <c r="D159" t="n">
        <v>156</v>
      </c>
      <c r="E159" t="n">
        <v>6.402</v>
      </c>
      <c r="F159">
        <f>IF(B158=B159, IFERROR((E159-E158)/ABS(E158), "n/a"), "")</f>
        <v/>
      </c>
      <c r="G159" t="n">
        <v>100.3642</v>
      </c>
    </row>
    <row r="160">
      <c r="A160" t="inlineStr">
        <is>
          <t>2026-09-22</t>
        </is>
      </c>
      <c r="B160" t="inlineStr">
        <is>
          <t>US Dollar</t>
        </is>
      </c>
      <c r="C160" t="n">
        <v>156</v>
      </c>
      <c r="D160" t="n">
        <v>157</v>
      </c>
      <c r="E160" t="n">
        <v>3.907</v>
      </c>
      <c r="F160">
        <f>IF(B159=B160, IFERROR((E160-E159)/ABS(E159), "n/a"), "")</f>
        <v/>
      </c>
      <c r="G160" t="n">
        <v>100.5027</v>
      </c>
    </row>
    <row r="161">
      <c r="A161" t="inlineStr">
        <is>
          <t>2026-09-23</t>
        </is>
      </c>
      <c r="B161" t="inlineStr">
        <is>
          <t>US Dollar</t>
        </is>
      </c>
      <c r="C161" t="n">
        <v>154</v>
      </c>
      <c r="D161" t="n">
        <v>159</v>
      </c>
      <c r="E161" t="n">
        <v>1.556</v>
      </c>
      <c r="F161">
        <f>IF(B160=B161, IFERROR((E161-E160)/ABS(E160), "n/a"), "")</f>
        <v/>
      </c>
      <c r="G161" t="n">
        <v>100.9125</v>
      </c>
    </row>
    <row r="162">
      <c r="A162" t="inlineStr">
        <is>
          <t>2026-09-24</t>
        </is>
      </c>
      <c r="B162" t="inlineStr">
        <is>
          <t>US Dollar</t>
        </is>
      </c>
      <c r="C162" t="n">
        <v>158</v>
      </c>
      <c r="D162" t="n">
        <v>158</v>
      </c>
      <c r="E162" t="n">
        <v>2.098</v>
      </c>
      <c r="F162">
        <f>IF(B161=B162, IFERROR((E162-E161)/ABS(E161), "n/a"), "")</f>
        <v/>
      </c>
      <c r="G162" t="n">
        <v>101.1772</v>
      </c>
    </row>
    <row r="163">
      <c r="A163" t="inlineStr">
        <is>
          <t>2026-09-25</t>
        </is>
      </c>
      <c r="B163" t="inlineStr">
        <is>
          <t>US Dollar</t>
        </is>
      </c>
      <c r="C163" t="n">
        <v>195</v>
      </c>
      <c r="D163" t="n">
        <v>199</v>
      </c>
      <c r="E163" t="n">
        <v>2.877</v>
      </c>
      <c r="F163">
        <f>IF(B162=B163, IFERROR((E163-E162)/ABS(E162), "n/a"), "")</f>
        <v/>
      </c>
      <c r="G163" t="n">
        <v>101.0876</v>
      </c>
    </row>
    <row r="164">
      <c r="A164" t="inlineStr">
        <is>
          <t>2026-09-26</t>
        </is>
      </c>
      <c r="B164" t="inlineStr">
        <is>
          <t>US Dollar</t>
        </is>
      </c>
      <c r="C164" t="n">
        <v>196</v>
      </c>
      <c r="D164" t="n">
        <v>200</v>
      </c>
      <c r="E164" t="n">
        <v>1.82</v>
      </c>
      <c r="F164">
        <f>IF(B163=B164, IFERROR((E164-E163)/ABS(E163), "n/a"), "")</f>
        <v/>
      </c>
      <c r="G164" t="n">
        <v>101.035</v>
      </c>
    </row>
    <row r="165">
      <c r="A165" t="inlineStr">
        <is>
          <t>2026-09-27</t>
        </is>
      </c>
      <c r="B165" t="inlineStr">
        <is>
          <t>US Dollar</t>
        </is>
      </c>
      <c r="C165" t="n">
        <v>157</v>
      </c>
      <c r="D165" t="n">
        <v>160</v>
      </c>
      <c r="E165" t="n">
        <v>1.424</v>
      </c>
      <c r="F165">
        <f>IF(B164=B165, IFERROR((E165-E164)/ABS(E164), "n/a"), "")</f>
        <v/>
      </c>
      <c r="G165" t="n">
        <v>101.035</v>
      </c>
    </row>
    <row r="166">
      <c r="A166" t="inlineStr">
        <is>
          <t>2026-09-28</t>
        </is>
      </c>
      <c r="B166" t="inlineStr">
        <is>
          <t>US Dollar</t>
        </is>
      </c>
      <c r="C166" t="n">
        <v>80</v>
      </c>
      <c r="D166" t="n">
        <v>80</v>
      </c>
      <c r="E166" t="n">
        <v>0.538</v>
      </c>
      <c r="F166">
        <f>IF(B165=B166, IFERROR((E166-E165)/ABS(E165), "n/a"), "")</f>
        <v/>
      </c>
      <c r="G166" t="n">
        <v>101.126</v>
      </c>
    </row>
    <row r="167">
      <c r="A167" t="inlineStr">
        <is>
          <t>2026-09-29</t>
        </is>
      </c>
      <c r="B167" t="inlineStr">
        <is>
          <t>US Dollar</t>
        </is>
      </c>
      <c r="C167" t="n">
        <v>160</v>
      </c>
      <c r="D167" t="n">
        <v>160</v>
      </c>
      <c r="E167" t="n">
        <v>-2.561</v>
      </c>
      <c r="F167">
        <f>IF(B166=B167, IFERROR((E167-E166)/ABS(E166), "n/a"), "")</f>
        <v/>
      </c>
      <c r="G167" t="n">
        <v>101.4082</v>
      </c>
    </row>
    <row r="168">
      <c r="A168" t="inlineStr">
        <is>
          <t>2026-09-30</t>
        </is>
      </c>
      <c r="B168" t="inlineStr">
        <is>
          <t>US Dollar</t>
        </is>
      </c>
      <c r="C168" t="n">
        <v>118</v>
      </c>
      <c r="D168" t="n">
        <v>120</v>
      </c>
      <c r="E168" t="n">
        <v>0.736</v>
      </c>
      <c r="F168">
        <f>IF(B167=B168, IFERROR((E168-E167)/ABS(E167), "n/a"), "")</f>
        <v/>
      </c>
      <c r="G168" t="n">
        <v>101.385</v>
      </c>
    </row>
    <row r="169">
      <c r="A169" t="inlineStr">
        <is>
          <t>2026-10-01</t>
        </is>
      </c>
      <c r="B169" t="inlineStr">
        <is>
          <t>US Dollar</t>
        </is>
      </c>
      <c r="C169" t="n">
        <v>119</v>
      </c>
      <c r="D169" t="n">
        <v>120</v>
      </c>
      <c r="E169" t="n">
        <v>2.138</v>
      </c>
      <c r="F169">
        <f>IF(B168=B169, IFERROR((E169-E168)/ABS(E168), "n/a"), "")</f>
        <v/>
      </c>
      <c r="G169" t="n">
        <v>101.8527</v>
      </c>
    </row>
    <row r="170">
      <c r="A170" t="inlineStr">
        <is>
          <t>2026-10-02</t>
        </is>
      </c>
      <c r="B170" t="inlineStr">
        <is>
          <t>US Dollar</t>
        </is>
      </c>
      <c r="C170" t="n">
        <v>118</v>
      </c>
      <c r="D170" t="n">
        <v>120</v>
      </c>
      <c r="E170" t="n">
        <v>1.546</v>
      </c>
      <c r="F170">
        <f>IF(B169=B170, IFERROR((E170-E169)/ABS(E169), "n/a"), "")</f>
        <v/>
      </c>
      <c r="G170" t="n">
        <v>101.8533</v>
      </c>
    </row>
    <row r="171">
      <c r="A171" t="inlineStr">
        <is>
          <t>2026-10-03</t>
        </is>
      </c>
      <c r="B171" t="inlineStr">
        <is>
          <t>US Dollar</t>
        </is>
      </c>
      <c r="C171" t="n">
        <v>154</v>
      </c>
      <c r="D171" t="n">
        <v>160</v>
      </c>
      <c r="E171" t="n">
        <v>1.091</v>
      </c>
      <c r="F171">
        <f>IF(B170=B171, IFERROR((E171-E170)/ABS(E170), "n/a"), "")</f>
        <v/>
      </c>
      <c r="G171" t="n">
        <v>101.924</v>
      </c>
    </row>
    <row r="172">
      <c r="A172" t="inlineStr">
        <is>
          <t>2026-10-04</t>
        </is>
      </c>
      <c r="B172" t="inlineStr">
        <is>
          <t>US Dollar</t>
        </is>
      </c>
      <c r="C172" t="n">
        <v>152</v>
      </c>
      <c r="D172" t="n">
        <v>160</v>
      </c>
      <c r="E172" t="n">
        <v>2.312</v>
      </c>
      <c r="F172">
        <f>IF(B171=B172, IFERROR((E172-E171)/ABS(E171), "n/a"), "")</f>
        <v/>
      </c>
      <c r="G172" t="n">
        <v>101.9143</v>
      </c>
    </row>
    <row r="173">
      <c r="A173" t="inlineStr">
        <is>
          <t>2026-10-05</t>
        </is>
      </c>
      <c r="B173" t="inlineStr">
        <is>
          <t>US Dollar</t>
        </is>
      </c>
      <c r="C173" t="n">
        <v>76</v>
      </c>
      <c r="D173" t="n">
        <v>80</v>
      </c>
      <c r="E173" t="n">
        <v>1.454</v>
      </c>
      <c r="F173">
        <f>IF(B172=B173, IFERROR((E173-E172)/ABS(E172), "n/a"), "")</f>
        <v/>
      </c>
      <c r="G173" t="n">
        <v>102.377</v>
      </c>
    </row>
    <row r="174">
      <c r="A174" t="inlineStr">
        <is>
          <t>2026-10-06</t>
        </is>
      </c>
      <c r="B174" t="inlineStr">
        <is>
          <t>US Dollar</t>
        </is>
      </c>
      <c r="C174" t="n">
        <v>157</v>
      </c>
      <c r="D174" t="n">
        <v>160</v>
      </c>
      <c r="E174" t="n">
        <v>0.577</v>
      </c>
      <c r="F174">
        <f>IF(B173=B174, IFERROR((E174-E173)/ABS(E173), "n/a"), "")</f>
        <v/>
      </c>
      <c r="G174" t="n">
        <v>101.9475</v>
      </c>
    </row>
    <row r="175">
      <c r="A175" t="inlineStr">
        <is>
          <t>2026-10-07</t>
        </is>
      </c>
      <c r="B175" t="inlineStr">
        <is>
          <t>US Dollar</t>
        </is>
      </c>
      <c r="C175" t="n">
        <v>78</v>
      </c>
      <c r="D175" t="n">
        <v>80</v>
      </c>
      <c r="E175" t="n">
        <v>2.276</v>
      </c>
      <c r="F175">
        <f>IF(B174=B175, IFERROR((E175-E174)/ABS(E174), "n/a"), "")</f>
        <v/>
      </c>
      <c r="G175" t="n">
        <v>102.1805</v>
      </c>
    </row>
    <row r="176">
      <c r="A176" t="inlineStr">
        <is>
          <t>2026-10-08</t>
        </is>
      </c>
      <c r="B176" t="inlineStr">
        <is>
          <t>US Dollar</t>
        </is>
      </c>
      <c r="C176" t="n">
        <v>120</v>
      </c>
      <c r="D176" t="n">
        <v>120</v>
      </c>
      <c r="E176" t="n">
        <v>3.926</v>
      </c>
      <c r="F176">
        <f>IF(B175=B176, IFERROR((E176-E175)/ABS(E175), "n/a"), "")</f>
        <v/>
      </c>
      <c r="G176" t="n">
        <v>102.1853</v>
      </c>
    </row>
    <row r="177">
      <c r="A177" t="inlineStr">
        <is>
          <t>2026-10-09</t>
        </is>
      </c>
      <c r="B177" t="inlineStr">
        <is>
          <t>US Dollar</t>
        </is>
      </c>
      <c r="C177" t="n">
        <v>120</v>
      </c>
      <c r="D177" t="n">
        <v>120</v>
      </c>
      <c r="E177" t="n">
        <v>3.027</v>
      </c>
      <c r="F177">
        <f>IF(B176=B177, IFERROR((E177-E176)/ABS(E176), "n/a"), "")</f>
        <v/>
      </c>
      <c r="G177" t="n">
        <v>102.172</v>
      </c>
    </row>
    <row r="178">
      <c r="A178" t="inlineStr">
        <is>
          <t>2026-10-10</t>
        </is>
      </c>
      <c r="B178" t="inlineStr">
        <is>
          <t>US Dollar</t>
        </is>
      </c>
      <c r="C178" t="n">
        <v>160</v>
      </c>
      <c r="D178" t="n">
        <v>160</v>
      </c>
      <c r="E178" t="n">
        <v>1.114</v>
      </c>
      <c r="F178">
        <f>IF(B177=B178, IFERROR((E178-E177)/ABS(E177), "n/a"), "")</f>
        <v/>
      </c>
      <c r="G178" t="n">
        <v>102.231</v>
      </c>
    </row>
    <row r="179">
      <c r="A179" t="inlineStr">
        <is>
          <t>2026-10-11</t>
        </is>
      </c>
      <c r="B179" t="inlineStr">
        <is>
          <t>US Dollar</t>
        </is>
      </c>
      <c r="C179" t="n">
        <v>160</v>
      </c>
      <c r="D179" t="n">
        <v>160</v>
      </c>
      <c r="E179" t="n">
        <v>1.738</v>
      </c>
      <c r="F179">
        <f>IF(B178=B179, IFERROR((E179-E178)/ABS(E178), "n/a"), "")</f>
        <v/>
      </c>
      <c r="G179" t="n">
        <v>102.2328</v>
      </c>
    </row>
    <row r="180">
      <c r="A180" t="inlineStr">
        <is>
          <t>2026-10-12</t>
        </is>
      </c>
      <c r="B180" t="inlineStr">
        <is>
          <t>US Dollar</t>
        </is>
      </c>
      <c r="C180" t="n">
        <v>80</v>
      </c>
      <c r="D180" t="n">
        <v>80</v>
      </c>
      <c r="E180" t="n">
        <v>1.148</v>
      </c>
      <c r="F180">
        <f>IF(B179=B180, IFERROR((E180-E179)/ABS(E179), "n/a"), "")</f>
        <v/>
      </c>
      <c r="G180" t="n">
        <v>102.367</v>
      </c>
    </row>
    <row r="181">
      <c r="A181" t="inlineStr">
        <is>
          <t>2026-10-13</t>
        </is>
      </c>
      <c r="B181" t="inlineStr">
        <is>
          <t>US Dollar</t>
        </is>
      </c>
      <c r="C181" t="n">
        <v>160</v>
      </c>
      <c r="D181" t="n">
        <v>160</v>
      </c>
      <c r="E181" t="n">
        <v>-0.172</v>
      </c>
      <c r="F181">
        <f>IF(B180=B181, IFERROR((E181-E180)/ABS(E180), "n/a"), "")</f>
        <v/>
      </c>
      <c r="G181" t="n">
        <v>102.288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2026-10-14T03:55:30Z</dcterms:modified>
</cp:coreProperties>
</file>