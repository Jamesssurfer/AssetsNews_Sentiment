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9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0">
      <c r="A860" t="inlineStr">
        <is>
          <t>2026-10-20T22:59:24+00:00</t>
        </is>
      </c>
      <c r="B860" t="inlineStr">
        <is>
          <t>2026-10-20</t>
        </is>
      </c>
      <c r="C860" t="inlineStr">
        <is>
          <t>Gold</t>
        </is>
      </c>
      <c r="D860" t="inlineStr">
        <is>
          <t>GCZ26.CMX</t>
        </is>
      </c>
      <c r="E860" t="n">
        <v>4142.7998</v>
      </c>
      <c r="F860" t="n">
        <v>4149.7998</v>
      </c>
      <c r="G860" t="n">
        <v>4137.3999</v>
      </c>
      <c r="H860" t="n">
        <v>4140.7002</v>
      </c>
      <c r="I860" t="n">
        <v>10503</v>
      </c>
      <c r="J860" t="n">
        <v>4</v>
      </c>
      <c r="K860" t="n">
        <v>40</v>
      </c>
      <c r="L860" t="n">
        <v>-0.152</v>
      </c>
      <c r="M860" t="n">
        <v>0.065</v>
      </c>
      <c r="N860" t="n">
        <v>40</v>
      </c>
      <c r="O860" t="n">
        <v>0.143</v>
      </c>
      <c r="P860" t="n">
        <v>0.034</v>
      </c>
      <c r="Q860" t="n">
        <v>-0.177</v>
      </c>
      <c r="R860" t="inlineStr">
        <is>
          <t>finbert</t>
        </is>
      </c>
      <c r="S860" t="inlineStr">
        <is>
          <t>Gold set for fresh record on strong precious metals sentiment - Yahoo Finance Singapore</t>
        </is>
      </c>
      <c r="T86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0" t="inlineStr">
        <is>
          <t>Bdan Says Gold Prices Surge 18% in a Month as Safe-Haven Demand Grows - bloomingbit</t>
        </is>
      </c>
      <c r="V860" t="inlineStr">
        <is>
          <t>https://news.google.com/rss/articles/CBMiVEFVX3lxTFBfVzcxS1BOc0hZaWdoS3Y2blo1TXF3RDZmUmdTb29xOHpwOVRjVHFMeGtFVENPMXBISUt2clJGX1dFTzI5Q01aY0QyS0oyTUhtWE8tSA?oc=5</t>
        </is>
      </c>
      <c r="W860" t="inlineStr">
        <is>
          <t>China gold market update: Q3 ends with strong official gold buying | Post by Ray Jia | Insights - World Gold Council</t>
        </is>
      </c>
      <c r="X86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60" t="inlineStr">
        <is>
          <t>Gold Breaks Down on Descending Triangle, Sets Up $4k Test - FOREX.com</t>
        </is>
      </c>
      <c r="Z8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0" t="inlineStr">
        <is>
          <t>Gold market sees positive ETF inflows in July, ending two months of outflows - Kitco</t>
        </is>
      </c>
      <c r="AB8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0" t="inlineStr">
        <is>
          <t>Gold (XAUUSD) &amp; Silver Price Forecast: Gold Breaks $4,184, Can Silver Clear $61.72? - FXEmpire</t>
        </is>
      </c>
      <c r="AD86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1">
      <c r="A861" t="inlineStr">
        <is>
          <t>2026-10-20T22:59:24+00:00</t>
        </is>
      </c>
      <c r="B861" t="inlineStr">
        <is>
          <t>2026-10-20</t>
        </is>
      </c>
      <c r="C861" t="inlineStr">
        <is>
          <t>Oil</t>
        </is>
      </c>
      <c r="D861" t="inlineStr">
        <is>
          <t>CL=F</t>
        </is>
      </c>
      <c r="E861" t="n">
        <v>97.73</v>
      </c>
      <c r="F861" t="n">
        <v>98.43000000000001</v>
      </c>
      <c r="G861" t="n">
        <v>97.47</v>
      </c>
      <c r="H861" t="n">
        <v>98.16</v>
      </c>
      <c r="I861" t="n">
        <v>42392</v>
      </c>
      <c r="J861" t="n">
        <v>4</v>
      </c>
      <c r="K861" t="n">
        <v>40</v>
      </c>
      <c r="L861" t="n">
        <v>0.045</v>
      </c>
      <c r="M861" t="n">
        <v>-0.271</v>
      </c>
      <c r="N861" t="n">
        <v>40</v>
      </c>
      <c r="O861" t="n">
        <v>-0.07199999999999999</v>
      </c>
      <c r="P861" t="n">
        <v>-0.045</v>
      </c>
      <c r="Q861" t="n">
        <v>-0.537</v>
      </c>
      <c r="R861" t="inlineStr">
        <is>
          <t>finbert</t>
        </is>
      </c>
      <c r="S861" t="inlineStr">
        <is>
          <t>Iran War Raises Demand for US Fuel, Boosting Gulf Coast Refining Margins - EnergyNow.com</t>
        </is>
      </c>
      <c r="T86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1" t="inlineStr">
        <is>
          <t>Oil surges 6%, Brent and US crude both surpass $100 on more tanker attacks - Reuters</t>
        </is>
      </c>
      <c r="V8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1" t="inlineStr">
        <is>
          <t>Wall Street gains as healthcare stocks rally, oil prices fall - The Detroit News</t>
        </is>
      </c>
      <c r="X861" t="inlineStr">
        <is>
          <t>https://news.google.com/rss/articles/CBMixgFBVV95cUxNNGlUSnVLbVQwcTRGQkRSMzI1WmJDVVE4dGhqak9kOTlJTVl1UTVpRDh0ZC01dDd4WTJLVnNZTU5GdWVtRE5QSnladkdfbGgySTdFejVKWGtBaW1KLXpPS1NqNzhRWjg0U1RaTWVZaFg2YUlpSUdJd3podU5wYVFNS0JXSmVlSzQ3YmVaTXpBaHNqUG03MFgzS2kwUFpoVnR5dEhPYk5fcmw2ZHBXSVk4U2k3TFpBNDRldWxPUVdsREx3ZnBVWlE?oc=5</t>
        </is>
      </c>
      <c r="Y861" t="inlineStr">
        <is>
          <t>Most US stocks rise following strong profit reports from Equifax, Hasbro and other big companies - Boston Herald</t>
        </is>
      </c>
      <c r="Z861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61" t="inlineStr">
        <is>
          <t>Saudi Arabia leads OPEC+ production increase: September crude oil daily output rises by 900,000 barrels month-on-month - 富途牛牛</t>
        </is>
      </c>
      <c r="AB86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61" t="inlineStr">
        <is>
          <t>OPEC+ output rises 903,000 bpd in September as Saudi Arabia leads; OPEC lifts 2027 demand growth forecast - Oil &amp; Gas Middle East</t>
        </is>
      </c>
      <c r="AD86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62">
      <c r="A862" t="inlineStr">
        <is>
          <t>2026-10-20T22:59:24+00:00</t>
        </is>
      </c>
      <c r="B862" t="inlineStr">
        <is>
          <t>2026-10-20</t>
        </is>
      </c>
      <c r="C862" t="inlineStr">
        <is>
          <t>US Dollar</t>
        </is>
      </c>
      <c r="D862" t="inlineStr">
        <is>
          <t>DX-Y.NYB</t>
        </is>
      </c>
      <c r="E862" t="n">
        <v>101.702</v>
      </c>
      <c r="F862" t="n">
        <v>101.741</v>
      </c>
      <c r="G862" t="n">
        <v>101.697</v>
      </c>
      <c r="H862" t="n">
        <v>101.73</v>
      </c>
      <c r="I862" t="n">
        <v>0</v>
      </c>
      <c r="J862" t="n">
        <v>4</v>
      </c>
      <c r="K862" t="n">
        <v>40</v>
      </c>
      <c r="L862" t="n">
        <v>-0.07000000000000001</v>
      </c>
      <c r="M862" t="n">
        <v>0.109</v>
      </c>
      <c r="N862" t="n">
        <v>37</v>
      </c>
      <c r="O862" t="n">
        <v>0.297</v>
      </c>
      <c r="P862" t="n">
        <v>-0.018</v>
      </c>
      <c r="Q862" t="n">
        <v>5.59</v>
      </c>
      <c r="R862" t="inlineStr">
        <is>
          <t>finbert</t>
        </is>
      </c>
      <c r="S862" t="inlineStr">
        <is>
          <t>Gold futures extend gains as safe-haven demand picks up. - CME Group</t>
        </is>
      </c>
      <c r="T8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2" t="inlineStr">
        <is>
          <t>Gold approaches $4,170, silver gains 3% as bond rally lifts precious metals - Kitco PM Report - Kitco</t>
        </is>
      </c>
      <c r="V86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2" t="inlineStr">
        <is>
          <t>New Zealand Dollar strengthens above 0.5650 on strong China's GDP data - FXStreet</t>
        </is>
      </c>
      <c r="X86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2" t="inlineStr">
        <is>
          <t>DXY Falls on Thursday - TradingView</t>
        </is>
      </c>
      <c r="Z86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2" t="inlineStr">
        <is>
          <t>The Philippine peso closed at P63.09 against the US dollar on Tuesday, October 20, 2026. - Facebook</t>
        </is>
      </c>
      <c r="AB862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62" t="inlineStr">
        <is>
          <t>Swiss Franc gains as US Dollar weakens on Fed rate pause bets - www.tmgm.com</t>
        </is>
      </c>
      <c r="AD862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</row>
    <row r="863">
      <c r="A863" t="inlineStr">
        <is>
          <t>2026-10-20T22:59:24+00:00</t>
        </is>
      </c>
      <c r="B863" t="inlineStr">
        <is>
          <t>2026-10-20</t>
        </is>
      </c>
      <c r="C863" t="inlineStr">
        <is>
          <t>S&amp;P 500</t>
        </is>
      </c>
      <c r="D863" t="inlineStr">
        <is>
          <t>ES=F</t>
        </is>
      </c>
      <c r="E863" t="n">
        <v>7764.25</v>
      </c>
      <c r="F863" t="n">
        <v>7793</v>
      </c>
      <c r="G863" t="n">
        <v>7746.25</v>
      </c>
      <c r="H863" t="n">
        <v>7777.25</v>
      </c>
      <c r="I863" t="n">
        <v>360525</v>
      </c>
      <c r="J863" t="n">
        <v>4</v>
      </c>
      <c r="K863" t="n">
        <v>39</v>
      </c>
      <c r="L863" t="n">
        <v>-0.075</v>
      </c>
      <c r="M863" t="n">
        <v>0.124</v>
      </c>
      <c r="N863" t="n">
        <v>39</v>
      </c>
      <c r="O863" t="n">
        <v>0.206</v>
      </c>
      <c r="P863" t="n">
        <v>-0.138</v>
      </c>
      <c r="Q863" t="n">
        <v>2.551</v>
      </c>
      <c r="R863" t="inlineStr">
        <is>
          <t>finbert</t>
        </is>
      </c>
      <c r="S863" t="inlineStr">
        <is>
          <t>IBRX Breaks Above This Key Resistance — Stock On Track To Record Best Single-Day Gains In 6 Months - Yahoo Finance</t>
        </is>
      </c>
      <c r="T86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63" t="inlineStr">
        <is>
          <t>Supermicro stock surges 12% after raising revenue outlook on AI demand - Yahoo Finance</t>
        </is>
      </c>
      <c r="V863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W863" t="inlineStr">
        <is>
          <t>Dow outperforms as Wall Street rises, healthcare stocks lead gains - Reuters</t>
        </is>
      </c>
      <c r="X863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3" t="inlineStr">
        <is>
          <t>Dow Drops 49, Nasdaq Sinks 512, S&amp;P 500 Falls 87 - TV News Check</t>
        </is>
      </c>
      <c r="Z86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3" t="inlineStr">
        <is>
          <t>Stellantis stock breaks through its €3.83 support level and records a five-year low - Idéal Investisseur</t>
        </is>
      </c>
      <c r="AB86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3" t="inlineStr">
        <is>
          <t>Dow Drops 175, Nasdaq Loses 573, S&amp;P 500 Falls 85 - TV News Check</t>
        </is>
      </c>
      <c r="AD86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64">
      <c r="A864" t="inlineStr">
        <is>
          <t>2026-10-20T22:59:24+00:00</t>
        </is>
      </c>
      <c r="B864" t="inlineStr">
        <is>
          <t>2026-10-20</t>
        </is>
      </c>
      <c r="C864" t="inlineStr">
        <is>
          <t>Nasdaq</t>
        </is>
      </c>
      <c r="D864" t="inlineStr">
        <is>
          <t>NQ=F</t>
        </is>
      </c>
      <c r="E864" t="n">
        <v>29765.75</v>
      </c>
      <c r="F864" t="n">
        <v>29978</v>
      </c>
      <c r="G864" t="n">
        <v>29656.25</v>
      </c>
      <c r="H864" t="n">
        <v>29919.75</v>
      </c>
      <c r="I864" t="n">
        <v>132662</v>
      </c>
      <c r="J864" t="n">
        <v>4</v>
      </c>
      <c r="K864" t="n">
        <v>38</v>
      </c>
      <c r="L864" t="n">
        <v>-0.106</v>
      </c>
      <c r="M864" t="n">
        <v>0.014</v>
      </c>
      <c r="N864" t="n">
        <v>33</v>
      </c>
      <c r="O864" t="n">
        <v>0.027</v>
      </c>
      <c r="P864" t="n">
        <v>0.047</v>
      </c>
      <c r="Q864" t="n">
        <v>0.9419999999999999</v>
      </c>
      <c r="R864" t="inlineStr">
        <is>
          <t>finbert</t>
        </is>
      </c>
      <c r="S864" t="inlineStr">
        <is>
          <t>Wall Street ends higher on surge in health care stocks, solid earnings - Investing.com</t>
        </is>
      </c>
      <c r="T86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64" t="inlineStr">
        <is>
          <t>Bitcoin jumps to $83,000, stocks rise as China GDP beats estimates - CoinDesk</t>
        </is>
      </c>
      <c r="V86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4" t="inlineStr">
        <is>
          <t>Dow outperforms as Wall Street rises, healthcare stocks lead gains - Reuters</t>
        </is>
      </c>
      <c r="X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4" t="inlineStr">
        <is>
          <t>Dow outperforms as Wall Street rises, healthcare stocks lead gains - Reuters</t>
        </is>
      </c>
      <c r="Z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64" t="inlineStr">
        <is>
          <t>Micron Just Broke Support, So Buy MUU Into Strength (NASDAQ:MU) - Seeking Alpha</t>
        </is>
      </c>
      <c r="AB86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64" t="inlineStr">
        <is>
          <t>Dow boosted as markets rotate from tech shares - AFP.com</t>
        </is>
      </c>
      <c r="AD864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65">
      <c r="A865" t="inlineStr">
        <is>
          <t>2026-10-20T22:59:24+00:00</t>
        </is>
      </c>
      <c r="B865" t="inlineStr">
        <is>
          <t>2026-10-20</t>
        </is>
      </c>
      <c r="C865" t="inlineStr">
        <is>
          <t>Bitcoin</t>
        </is>
      </c>
      <c r="D865" t="inlineStr">
        <is>
          <t>BTC-USD</t>
        </is>
      </c>
      <c r="E865" t="n">
        <v>82506.57030000001</v>
      </c>
      <c r="F865" t="n">
        <v>83089.5469</v>
      </c>
      <c r="G865" t="n">
        <v>82414.9062</v>
      </c>
      <c r="H865" t="n">
        <v>82966.0312</v>
      </c>
      <c r="I865" t="n">
        <v>3185946624</v>
      </c>
      <c r="J865" t="n">
        <v>4</v>
      </c>
      <c r="K865" t="n">
        <v>38</v>
      </c>
      <c r="L865" t="n">
        <v>0.253</v>
      </c>
      <c r="M865" t="n">
        <v>0.014</v>
      </c>
      <c r="N865" t="n">
        <v>34</v>
      </c>
      <c r="O865" t="n">
        <v>0.594</v>
      </c>
      <c r="P865" t="n">
        <v>-0.285</v>
      </c>
      <c r="Q865" t="n">
        <v>16.903</v>
      </c>
      <c r="R865" t="inlineStr">
        <is>
          <t>finbert</t>
        </is>
      </c>
      <c r="S865" t="inlineStr">
        <is>
          <t>Bitcoin Surges 40% In Its Best Quarter Since Late 2024 - Bitcoin Magazine</t>
        </is>
      </c>
      <c r="T86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65" t="inlineStr">
        <is>
          <t>Bitcoin jumps to $83,000, stocks rise as China GDP beats estimates - CoinDesk</t>
        </is>
      </c>
      <c r="V86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5" t="inlineStr">
        <is>
          <t>Bitcoin surges 22% for the week as investor optimism floods back - CNBC</t>
        </is>
      </c>
      <c r="X86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65" t="inlineStr">
        <is>
          <t>Monero Outperforms Bitcoin, Zcash And NEAR – XMR Shorts Face $179K In Liquidations - TradingView</t>
        </is>
      </c>
      <c r="Z865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65" t="inlineStr">
        <is>
          <t>Bitcoin Analysis: BTC Is Clinging to Its 50-Day Average. How Low Could It Go if That Breaks? - 24/7 Wall St.</t>
        </is>
      </c>
      <c r="AB865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65" t="inlineStr">
        <is>
          <t>Bitcoin price prediction: 38.3% implied, 20.2% real - CryptoTicker</t>
        </is>
      </c>
      <c r="AD865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6">
      <c r="A866" t="inlineStr">
        <is>
          <t>2026-10-21T03:40:03+00:00</t>
        </is>
      </c>
      <c r="B866" t="inlineStr">
        <is>
          <t>2026-10-21</t>
        </is>
      </c>
      <c r="C866" t="inlineStr">
        <is>
          <t>Gold</t>
        </is>
      </c>
      <c r="D866" t="inlineStr">
        <is>
          <t>GCZ26.CMX</t>
        </is>
      </c>
      <c r="E866" t="n">
        <v>4132.2002</v>
      </c>
      <c r="F866" t="n">
        <v>4142.6001</v>
      </c>
      <c r="G866" t="n">
        <v>4124</v>
      </c>
      <c r="H866" t="n">
        <v>4140.2998</v>
      </c>
      <c r="I866" t="n">
        <v>16459</v>
      </c>
      <c r="J866" t="n">
        <v>4</v>
      </c>
      <c r="K866" t="n">
        <v>38</v>
      </c>
      <c r="L866" t="n">
        <v>-0.041</v>
      </c>
      <c r="M866" t="n">
        <v>0.07199999999999999</v>
      </c>
      <c r="N866" t="n">
        <v>40</v>
      </c>
      <c r="O866" t="n">
        <v>0.168</v>
      </c>
      <c r="P866" t="n">
        <v>0.059</v>
      </c>
      <c r="Q866" t="n">
        <v>1.583</v>
      </c>
      <c r="R866" t="inlineStr">
        <is>
          <t>finbert</t>
        </is>
      </c>
      <c r="S866" t="inlineStr">
        <is>
          <t>Gold set for fresh record on strong precious metals sentiment - Yahoo Finance Singapore</t>
        </is>
      </c>
      <c r="T86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6" t="inlineStr">
        <is>
          <t>World gold and silver prices surge, cash flow turns to safe haven assets - Laodong.vn</t>
        </is>
      </c>
      <c r="V86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66" t="inlineStr">
        <is>
          <t>Bdan Says Gold Prices Surge 18% in a Month as Safe-Haven Demand Grows - bloomingbit</t>
        </is>
      </c>
      <c r="X866" t="inlineStr">
        <is>
          <t>https://news.google.com/rss/articles/CBMiVEFVX3lxTFBfVzcxS1BOc0hZaWdoS3Y2blo1TXF3RDZmUmdTb29xOHpwOVRjVHFMeGtFVENPMXBISUt2clJGX1dFTzI5Q01aY0QyS0oyTUhtWE8tSA?oc=5</t>
        </is>
      </c>
      <c r="Y866" t="inlineStr">
        <is>
          <t>Gold Breaks Down on Descending Triangle, Sets Up $4k Test - FOREX.com</t>
        </is>
      </c>
      <c r="Z8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6" t="inlineStr">
        <is>
          <t>Gold market sees positive ETF inflows in July, ending two months of outflows - Kitco</t>
        </is>
      </c>
      <c r="AB8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6" t="inlineStr">
        <is>
          <t>Gold (XAUUSD) &amp; Silver Price Forecast: Gold Breaks $4,184, Can Silver Clear $61.72? - FXEmpire</t>
        </is>
      </c>
      <c r="AD86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7">
      <c r="A867" t="inlineStr">
        <is>
          <t>2026-10-21T03:40:03+00:00</t>
        </is>
      </c>
      <c r="B867" t="inlineStr">
        <is>
          <t>2026-10-21</t>
        </is>
      </c>
      <c r="C867" t="inlineStr">
        <is>
          <t>Oil</t>
        </is>
      </c>
      <c r="D867" t="inlineStr">
        <is>
          <t>CL=F</t>
        </is>
      </c>
      <c r="E867" t="n">
        <v>98.42</v>
      </c>
      <c r="F867" t="n">
        <v>99.34</v>
      </c>
      <c r="G867" t="n">
        <v>98.37</v>
      </c>
      <c r="H867" t="n">
        <v>99.14</v>
      </c>
      <c r="I867" t="n">
        <v>11156</v>
      </c>
      <c r="J867" t="n">
        <v>4</v>
      </c>
      <c r="K867" t="n">
        <v>40</v>
      </c>
      <c r="L867" t="n">
        <v>-0.003</v>
      </c>
      <c r="M867" t="n">
        <v>-0.278</v>
      </c>
      <c r="N867" t="n">
        <v>40</v>
      </c>
      <c r="O867" t="n">
        <v>-0.104</v>
      </c>
      <c r="P867" t="n">
        <v>-0.046</v>
      </c>
      <c r="Q867" t="n">
        <v>-2.143</v>
      </c>
      <c r="R867" t="inlineStr">
        <is>
          <t>finbert</t>
        </is>
      </c>
      <c r="S867" t="inlineStr">
        <is>
          <t>Iran War Raises Demand for US Fuel, Boosting Gulf Coast Refining Margins - EnergyNow.com</t>
        </is>
      </c>
      <c r="T86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7" t="inlineStr">
        <is>
          <t>Oil surges 6%, Brent and US crude both surpass $100 on more tanker attacks - Reuters</t>
        </is>
      </c>
      <c r="V8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7" t="inlineStr">
        <is>
          <t>Wall Street gains as healthcare stocks rally, oil prices fall - CNA</t>
        </is>
      </c>
      <c r="X86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67" t="inlineStr">
        <is>
          <t>Saudi Arabia leads OPEC+ production increase: September crude oil daily output rises by 900,000 barrels month-on-month - 富途牛牛</t>
        </is>
      </c>
      <c r="Z86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67" t="inlineStr">
        <is>
          <t>OPEC+ output rises 903,000 bpd in September as Saudi Arabia leads; OPEC lifts 2027 demand growth forecast - Oil &amp; Gas Middle East</t>
        </is>
      </c>
      <c r="AB867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67" t="inlineStr">
        <is>
          <t>Gulf oil production rebounds ahead of increase in Iran war hostilities - Financial Times</t>
        </is>
      </c>
      <c r="AD86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68">
      <c r="A868" t="inlineStr">
        <is>
          <t>2026-10-21T03:40:03+00:00</t>
        </is>
      </c>
      <c r="B868" t="inlineStr">
        <is>
          <t>2026-10-21</t>
        </is>
      </c>
      <c r="C868" t="inlineStr">
        <is>
          <t>US Dollar</t>
        </is>
      </c>
      <c r="D868" t="inlineStr">
        <is>
          <t>DX-Y.NYB</t>
        </is>
      </c>
      <c r="E868" t="n">
        <v>101.793</v>
      </c>
      <c r="F868" t="n">
        <v>101.814</v>
      </c>
      <c r="G868" t="n">
        <v>101.745</v>
      </c>
      <c r="H868" t="n">
        <v>101.77</v>
      </c>
      <c r="I868" t="n">
        <v>0</v>
      </c>
      <c r="J868" t="n">
        <v>4</v>
      </c>
      <c r="K868" t="n">
        <v>40</v>
      </c>
      <c r="L868" t="n">
        <v>-0.169</v>
      </c>
      <c r="M868" t="n">
        <v>0.082</v>
      </c>
      <c r="N868" t="n">
        <v>37</v>
      </c>
      <c r="O868" t="n">
        <v>0.27</v>
      </c>
      <c r="P868" t="n">
        <v>0</v>
      </c>
      <c r="Q868" t="n">
        <v>3.115</v>
      </c>
      <c r="R868" t="inlineStr">
        <is>
          <t>finbert</t>
        </is>
      </c>
      <c r="S868" t="inlineStr">
        <is>
          <t>Gold futures extend gains as safe-haven demand picks up. - CME Group</t>
        </is>
      </c>
      <c r="T8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8" t="inlineStr">
        <is>
          <t>Gold approaches $4,170, silver gains 3% as bond rally lifts precious metals - Kitco PM Report - Kitco</t>
        </is>
      </c>
      <c r="V86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8" t="inlineStr">
        <is>
          <t>New Zealand Dollar strengthens above 0.5650 on strong China's GDP data - FXStreet</t>
        </is>
      </c>
      <c r="X86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8" t="inlineStr">
        <is>
          <t>DXY Falls on Thursday - TradingView</t>
        </is>
      </c>
      <c r="Z86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8" t="inlineStr">
        <is>
          <t>Swiss Franc gains as US Dollar weakens on Fed rate pause bets - www.tmgm.com</t>
        </is>
      </c>
      <c r="AB868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  <c r="AC868" t="inlineStr">
        <is>
          <t>The bond market sell-off is helping the dollar - The Economist</t>
        </is>
      </c>
      <c r="AD86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69">
      <c r="A869" t="inlineStr">
        <is>
          <t>2026-10-21T03:40:03+00:00</t>
        </is>
      </c>
      <c r="B869" t="inlineStr">
        <is>
          <t>2026-10-21</t>
        </is>
      </c>
      <c r="C869" t="inlineStr">
        <is>
          <t>S&amp;P 500</t>
        </is>
      </c>
      <c r="D869" t="inlineStr">
        <is>
          <t>ES=F</t>
        </is>
      </c>
      <c r="E869" t="n">
        <v>7775</v>
      </c>
      <c r="F869" t="n">
        <v>7785.5</v>
      </c>
      <c r="G869" t="n">
        <v>7769</v>
      </c>
      <c r="H869" t="n">
        <v>7783.25</v>
      </c>
      <c r="I869" t="n">
        <v>46855</v>
      </c>
      <c r="J869" t="n">
        <v>4</v>
      </c>
      <c r="K869" t="n">
        <v>39</v>
      </c>
      <c r="L869" t="n">
        <v>-0.258</v>
      </c>
      <c r="M869" t="n">
        <v>0.08699999999999999</v>
      </c>
      <c r="N869" t="n">
        <v>39</v>
      </c>
      <c r="O869" t="n">
        <v>0.143</v>
      </c>
      <c r="P869" t="n">
        <v>-0.13</v>
      </c>
      <c r="Q869" t="n">
        <v>-2.234</v>
      </c>
      <c r="R869" t="inlineStr">
        <is>
          <t>finbert</t>
        </is>
      </c>
      <c r="S869" t="inlineStr">
        <is>
          <t>Stock Market Today, Oct. 19: Cleveland-Cliffs Surges on Stronger Q3 Results and Raised 2027 EBITDA Outlook - Yahoo Finance</t>
        </is>
      </c>
      <c r="T869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69" t="inlineStr">
        <is>
          <t>IBRX Breaks Above This Key Resistance — Stock On Track To Record Best Single-Day Gains In 6 Months - Yahoo Finance</t>
        </is>
      </c>
      <c r="V8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69" t="inlineStr">
        <is>
          <t>Supermicro stock surges 12% after raising revenue outlook on AI demand - Investing.com</t>
        </is>
      </c>
      <c r="X869" t="inlineStr">
        <is>
          <t>https://news.google.com/rss/articles/CBMixAFBVV95cUxQLWo3bVBrclBqYVBFZzZ4X1RoTmY4ZGNJQW94c1FzbUNZRWl6cXJLUHNMZ3prN3V6WWNkWWgxdjAzVUoza002Nlp3bHFCVklaSmtKbUJUR1JFb2JrSkxsU3AxZzY4MTlwRkJXQ2NmN3ZyenBkMU1IQzZwQWx0Q3c1MHpMb1N1bE9OTE9jQVB2bVlLZlRZaXNNWkpWeHhlOWZEX0o3RTRDWnlId2lvTHlzWU13c3dfUm9wb3p6eHVBd0loNDZR?oc=5</t>
        </is>
      </c>
      <c r="Y869" t="inlineStr">
        <is>
          <t>Dow Drops 49, Nasdaq Sinks 512, S&amp;P 500 Falls 87 - TV News Check</t>
        </is>
      </c>
      <c r="Z86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9" t="inlineStr">
        <is>
          <t>Stellantis stock breaks through its €3.83 support level and records a five-year low - Idéal Investisseur</t>
        </is>
      </c>
      <c r="AB86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9" t="inlineStr">
        <is>
          <t>Dow Drops 175, Nasdaq Loses 573, S&amp;P 500 Falls 85 - TV News Check</t>
        </is>
      </c>
      <c r="AD86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70">
      <c r="A870" t="inlineStr">
        <is>
          <t>2026-10-21T03:40:03+00:00</t>
        </is>
      </c>
      <c r="B870" t="inlineStr">
        <is>
          <t>2026-10-21</t>
        </is>
      </c>
      <c r="C870" t="inlineStr">
        <is>
          <t>Nasdaq</t>
        </is>
      </c>
      <c r="D870" t="inlineStr">
        <is>
          <t>NQ=F</t>
        </is>
      </c>
      <c r="E870" t="n">
        <v>29907.5</v>
      </c>
      <c r="F870" t="n">
        <v>30010.25</v>
      </c>
      <c r="G870" t="n">
        <v>29845.75</v>
      </c>
      <c r="H870" t="n">
        <v>29960.75</v>
      </c>
      <c r="I870" t="n">
        <v>50583</v>
      </c>
      <c r="J870" t="n">
        <v>4</v>
      </c>
      <c r="K870" t="n">
        <v>38</v>
      </c>
      <c r="L870" t="n">
        <v>-0.187</v>
      </c>
      <c r="M870" t="n">
        <v>0.055</v>
      </c>
      <c r="N870" t="n">
        <v>35</v>
      </c>
      <c r="O870" t="n">
        <v>-0.07000000000000001</v>
      </c>
      <c r="P870" t="n">
        <v>0.06</v>
      </c>
      <c r="Q870" t="n">
        <v>-3.277</v>
      </c>
      <c r="R870" t="inlineStr">
        <is>
          <t>finbert</t>
        </is>
      </c>
      <c r="S870" t="inlineStr">
        <is>
          <t>Strong Earnings Boost Tech Stocks, SMCI Surges - GuruFocus</t>
        </is>
      </c>
      <c r="T870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0" t="inlineStr">
        <is>
          <t>Wall Street ends higher on surge in health care stocks, solid earnings - Investing.com</t>
        </is>
      </c>
      <c r="V87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870" t="inlineStr">
        <is>
          <t>Dow outperforms as Wall Street rises, healthcare stocks lead gains - Reuters</t>
        </is>
      </c>
      <c r="X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0" t="inlineStr">
        <is>
          <t>Dow outperforms as Wall Street rises, healthcare stocks lead gains - Reuters</t>
        </is>
      </c>
      <c r="Z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0" t="inlineStr">
        <is>
          <t>Micron Just Broke Support, So Buy MUU Into Strength (NASDAQ:MU) - Seeking Alpha</t>
        </is>
      </c>
      <c r="AB87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0" t="inlineStr">
        <is>
          <t>Dow boosted as markets rotate from tech shares - AFP.com</t>
        </is>
      </c>
      <c r="AD870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71">
      <c r="A871" t="inlineStr">
        <is>
          <t>2026-10-21T03:40:03+00:00</t>
        </is>
      </c>
      <c r="B871" t="inlineStr">
        <is>
          <t>2026-10-21</t>
        </is>
      </c>
      <c r="C871" t="inlineStr">
        <is>
          <t>Bitcoin</t>
        </is>
      </c>
      <c r="D871" t="inlineStr">
        <is>
          <t>BTC-USD</t>
        </is>
      </c>
      <c r="E871" t="n">
        <v>82936.60159999999</v>
      </c>
      <c r="F871" t="n">
        <v>83143.28909999999</v>
      </c>
      <c r="G871" t="n">
        <v>82631.4219</v>
      </c>
      <c r="H871" t="n">
        <v>82691.4375</v>
      </c>
      <c r="I871" t="n">
        <v>2026840064</v>
      </c>
      <c r="J871" t="n">
        <v>4</v>
      </c>
      <c r="K871" t="n">
        <v>39</v>
      </c>
      <c r="L871" t="n">
        <v>0.175</v>
      </c>
      <c r="M871" t="n">
        <v>0.054</v>
      </c>
      <c r="N871" t="n">
        <v>34</v>
      </c>
      <c r="O871" t="n">
        <v>0.508</v>
      </c>
      <c r="P871" t="n">
        <v>-0.254</v>
      </c>
      <c r="Q871" t="n">
        <v>14.539</v>
      </c>
      <c r="R871" t="inlineStr">
        <is>
          <t>finbert</t>
        </is>
      </c>
      <c r="S871" t="inlineStr">
        <is>
          <t>Bitcoin Surges 40% In Its Best Quarter Since Late 2024 - Bitcoin Magazine</t>
        </is>
      </c>
      <c r="T87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71" t="inlineStr">
        <is>
          <t>Bitcoin jumps to $83,000, stocks rise as China GDP beats estimates - CoinDesk</t>
        </is>
      </c>
      <c r="V87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1" t="inlineStr">
        <is>
          <t>Bitcoin surges 22% for the week as investor optimism floods back - CNBC</t>
        </is>
      </c>
      <c r="X87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71" t="inlineStr">
        <is>
          <t>Monero Outperforms Bitcoin, Zcash And NEAR – XMR Shorts Face $179K In Liquidations - TradingView</t>
        </is>
      </c>
      <c r="Z871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1" t="inlineStr">
        <is>
          <t>Bitcoin price prediction: the options market prices in 38.3 percent volatility, the price delivers 20.2 - CryptoTicker</t>
        </is>
      </c>
      <c r="AB871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  <c r="AC871" t="inlineStr">
        <is>
          <t>CZ Says Peter Schiff Will Be Right About Bitcoin One Day. There’s a Catch - BeInCrypto</t>
        </is>
      </c>
      <c r="AD87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72">
      <c r="A872" t="inlineStr">
        <is>
          <t>2026-10-21T09:11:54+00:00</t>
        </is>
      </c>
      <c r="B872" t="inlineStr">
        <is>
          <t>2026-10-21</t>
        </is>
      </c>
      <c r="C872" t="inlineStr">
        <is>
          <t>Gold</t>
        </is>
      </c>
      <c r="D872" t="inlineStr">
        <is>
          <t>GCZ26.CMX</t>
        </is>
      </c>
      <c r="E872" t="n">
        <v>4135.2002</v>
      </c>
      <c r="F872" t="n">
        <v>4143.2002</v>
      </c>
      <c r="G872" t="n">
        <v>4128.3999</v>
      </c>
      <c r="H872" t="n">
        <v>4139.2998</v>
      </c>
      <c r="I872" t="n">
        <v>12614</v>
      </c>
      <c r="J872" t="n">
        <v>4</v>
      </c>
      <c r="K872" t="n">
        <v>38</v>
      </c>
      <c r="L872" t="n">
        <v>-0.002</v>
      </c>
      <c r="M872" t="n">
        <v>0.061</v>
      </c>
      <c r="N872" t="n">
        <v>40</v>
      </c>
      <c r="O872" t="n">
        <v>0.08699999999999999</v>
      </c>
      <c r="P872" t="n">
        <v>0.134</v>
      </c>
      <c r="Q872" t="n">
        <v>0.705</v>
      </c>
      <c r="R872" t="inlineStr">
        <is>
          <t>finbert</t>
        </is>
      </c>
      <c r="S872" t="inlineStr">
        <is>
          <t>Gold set for fresh record on strong precious metals sentiment - Yahoo Finance Singapore</t>
        </is>
      </c>
      <c r="T87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2" t="inlineStr">
        <is>
          <t>Bdan Says Gold Prices Surge 18% in a Month as Safe-Haven Demand Grows - bloomingbit</t>
        </is>
      </c>
      <c r="V872" t="inlineStr">
        <is>
          <t>https://news.google.com/rss/articles/CBMiVEFVX3lxTFBfVzcxS1BOc0hZaWdoS3Y2blo1TXF3RDZmUmdTb29xOHpwOVRjVHFMeGtFVENPMXBISUt2clJGX1dFTzI5Q01aY0QyS0oyTUhtWE8tSA?oc=5</t>
        </is>
      </c>
      <c r="W872" t="inlineStr">
        <is>
          <t>China gold market update: Q3 ends with strong official gold buying | Post by Ray Jia | Insights - World Gold Council</t>
        </is>
      </c>
      <c r="X87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2" t="inlineStr">
        <is>
          <t>First-half gold ETF flows remained positive – World Gold Council - Mining Weekly</t>
        </is>
      </c>
      <c r="Z8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72" t="inlineStr">
        <is>
          <t>Gold market sees positive ETF inflows in July, ending two months of outflows - Kitco</t>
        </is>
      </c>
      <c r="AB87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2" t="inlineStr">
        <is>
          <t>Gold (XAUUSD) &amp; Silver Price Forecast: Gold Breaks $4,184, Can Silver Clear $61.72? - FXEmpire</t>
        </is>
      </c>
      <c r="AD87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3">
      <c r="A873" t="inlineStr">
        <is>
          <t>2026-10-21T09:11:54+00:00</t>
        </is>
      </c>
      <c r="B873" t="inlineStr">
        <is>
          <t>2026-10-21</t>
        </is>
      </c>
      <c r="C873" t="inlineStr">
        <is>
          <t>Oil</t>
        </is>
      </c>
      <c r="D873" t="inlineStr">
        <is>
          <t>CL=F</t>
        </is>
      </c>
      <c r="E873" t="n">
        <v>99.13</v>
      </c>
      <c r="F873" t="n">
        <v>99.53</v>
      </c>
      <c r="G873" t="n">
        <v>98.19</v>
      </c>
      <c r="H873" t="n">
        <v>99.36</v>
      </c>
      <c r="I873" t="n">
        <v>27516</v>
      </c>
      <c r="J873" t="n">
        <v>4</v>
      </c>
      <c r="K873" t="n">
        <v>40</v>
      </c>
      <c r="L873" t="n">
        <v>0.112</v>
      </c>
      <c r="M873" t="n">
        <v>-0.205</v>
      </c>
      <c r="N873" t="n">
        <v>40</v>
      </c>
      <c r="O873" t="n">
        <v>-0.06900000000000001</v>
      </c>
      <c r="P873" t="n">
        <v>-0.035</v>
      </c>
      <c r="Q873" t="n">
        <v>0.865</v>
      </c>
      <c r="R873" t="inlineStr">
        <is>
          <t>finbert</t>
        </is>
      </c>
      <c r="S873" t="inlineStr">
        <is>
          <t>Oil surges 6%, Brent and US crude both surpass $100 on more tanker attacks - Reuters</t>
        </is>
      </c>
      <c r="T8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873" t="inlineStr">
        <is>
          <t>Wall Street gains as healthcare stocks rally, oil prices fall - CNA</t>
        </is>
      </c>
      <c r="V873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W873" t="inlineStr">
        <is>
          <t>MPOB Monthly Report Imminent: Malaysia's Palm Oil Stockpiles May Surge Past 2.6 Million Tonnes as Strong El Niño Fuels Distant-Month Supply Cut Expectations - BigGo Finance</t>
        </is>
      </c>
      <c r="X87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73" t="inlineStr">
        <is>
          <t>Saudi Arabia leads OPEC+ production increase: September crude oil daily output rises by 900,000 barrels month-on-month - 富途牛牛</t>
        </is>
      </c>
      <c r="Z87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73" t="inlineStr">
        <is>
          <t>OPEC+ output rises 903,000 bpd in September as Saudi Arabia leads; OPEC lifts 2027 demand growth forecast - Oil &amp; Gas Middle East</t>
        </is>
      </c>
      <c r="AB87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73" t="inlineStr">
        <is>
          <t>Gulf oil production rebounds ahead of increase in Iran war hostilities - Financial Times</t>
        </is>
      </c>
      <c r="AD87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74">
      <c r="A874" t="inlineStr">
        <is>
          <t>2026-10-21T09:11:54+00:00</t>
        </is>
      </c>
      <c r="B874" t="inlineStr">
        <is>
          <t>2026-10-21</t>
        </is>
      </c>
      <c r="C874" t="inlineStr">
        <is>
          <t>US Dollar</t>
        </is>
      </c>
      <c r="D874" t="inlineStr">
        <is>
          <t>DX-Y.NYB</t>
        </is>
      </c>
      <c r="E874" t="n">
        <v>101.8</v>
      </c>
      <c r="F874" t="n">
        <v>101.837</v>
      </c>
      <c r="G874" t="n">
        <v>101.742</v>
      </c>
      <c r="H874" t="n">
        <v>101.786</v>
      </c>
      <c r="I874" t="n">
        <v>0</v>
      </c>
      <c r="J874" t="n">
        <v>4</v>
      </c>
      <c r="K874" t="n">
        <v>40</v>
      </c>
      <c r="L874" t="n">
        <v>-0.135</v>
      </c>
      <c r="M874" t="n">
        <v>0.097</v>
      </c>
      <c r="N874" t="n">
        <v>38</v>
      </c>
      <c r="O874" t="n">
        <v>0.293</v>
      </c>
      <c r="P874" t="n">
        <v>0.011</v>
      </c>
      <c r="Q874" t="n">
        <v>3.883</v>
      </c>
      <c r="R874" t="inlineStr">
        <is>
          <t>finbert</t>
        </is>
      </c>
      <c r="S874" t="inlineStr">
        <is>
          <t>Gold futures extend gains as safe-haven demand picks up. - CME Group</t>
        </is>
      </c>
      <c r="T87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74" t="inlineStr">
        <is>
          <t>Canadian Dollar gains momentum on rising oil prices, hawkish BoC rate hike bets - FXStreet</t>
        </is>
      </c>
      <c r="V87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74" t="inlineStr">
        <is>
          <t>Gold approaches $4,170, silver gains 3% as bond rally lifts precious metals - Kitco PM Report - Kitco</t>
        </is>
      </c>
      <c r="X87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74" t="inlineStr">
        <is>
          <t>Dollar Index Falls on Tuesday - TradingView</t>
        </is>
      </c>
      <c r="Z8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874" t="inlineStr">
        <is>
          <t>DXY Falls on Thursday - TradingView</t>
        </is>
      </c>
      <c r="AB87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74" t="inlineStr">
        <is>
          <t>The bond market sell-off is helping the dollar - The Economist</t>
        </is>
      </c>
      <c r="AD87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75">
      <c r="A875" t="inlineStr">
        <is>
          <t>2026-10-21T09:11:54+00:00</t>
        </is>
      </c>
      <c r="B875" t="inlineStr">
        <is>
          <t>2026-10-21</t>
        </is>
      </c>
      <c r="C875" t="inlineStr">
        <is>
          <t>S&amp;P 500</t>
        </is>
      </c>
      <c r="D875" t="inlineStr">
        <is>
          <t>ES=F</t>
        </is>
      </c>
      <c r="E875" t="n">
        <v>7772.75</v>
      </c>
      <c r="F875" t="n">
        <v>7779</v>
      </c>
      <c r="G875" t="n">
        <v>7757</v>
      </c>
      <c r="H875" t="n">
        <v>7759.75</v>
      </c>
      <c r="I875" t="n">
        <v>54802</v>
      </c>
      <c r="J875" t="n">
        <v>4</v>
      </c>
      <c r="K875" t="n">
        <v>40</v>
      </c>
      <c r="L875" t="n">
        <v>-0.295</v>
      </c>
      <c r="M875" t="n">
        <v>0.134</v>
      </c>
      <c r="N875" t="n">
        <v>39</v>
      </c>
      <c r="O875" t="n">
        <v>0.294</v>
      </c>
      <c r="P875" t="n">
        <v>-0.03</v>
      </c>
      <c r="Q875" t="n">
        <v>0.344</v>
      </c>
      <c r="R875" t="inlineStr">
        <is>
          <t>finbert</t>
        </is>
      </c>
      <c r="S875" t="inlineStr">
        <is>
          <t>Stock Market Today, Oct. 19: Cleveland-Cliffs Surges on Stronger Q3 Results and Raised 2027 EBITDA Outlook - Yahoo Finance</t>
        </is>
      </c>
      <c r="T87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75" t="inlineStr">
        <is>
          <t>IBRX Breaks Above This Key Resistance — Stock On Track To Record Best Single-Day Gains In 6 Months - Yahoo Finance</t>
        </is>
      </c>
      <c r="V8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75" t="inlineStr">
        <is>
          <t>Supermicro stock surges 12% after raising revenue outlook on AI demand - Yahoo Finance</t>
        </is>
      </c>
      <c r="X875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Y875" t="inlineStr">
        <is>
          <t>Strong profit reports support Wall Street as chip stocks drop - huntingdondailynews.com</t>
        </is>
      </c>
      <c r="Z87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875" t="inlineStr">
        <is>
          <t>Dow Drops 49, Nasdaq Sinks 512, S&amp;P 500 Falls 87 - TV News Check</t>
        </is>
      </c>
      <c r="AB87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75" t="inlineStr">
        <is>
          <t>Stellantis stock breaks through its €3.83 support level and records a five-year low - Idéal Investisseur</t>
        </is>
      </c>
      <c r="AD875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76">
      <c r="A876" t="inlineStr">
        <is>
          <t>2026-10-21T09:11:54+00:00</t>
        </is>
      </c>
      <c r="B876" t="inlineStr">
        <is>
          <t>2026-10-21</t>
        </is>
      </c>
      <c r="C876" t="inlineStr">
        <is>
          <t>Nasdaq</t>
        </is>
      </c>
      <c r="D876" t="inlineStr">
        <is>
          <t>NQ=F</t>
        </is>
      </c>
      <c r="E876" t="n">
        <v>29831.5</v>
      </c>
      <c r="F876" t="n">
        <v>29919</v>
      </c>
      <c r="G876" t="n">
        <v>29731.75</v>
      </c>
      <c r="H876" t="n">
        <v>29750</v>
      </c>
      <c r="I876" t="n">
        <v>30809</v>
      </c>
      <c r="J876" t="n">
        <v>4</v>
      </c>
      <c r="K876" t="n">
        <v>39</v>
      </c>
      <c r="L876" t="n">
        <v>-0.381</v>
      </c>
      <c r="M876" t="n">
        <v>0.168</v>
      </c>
      <c r="N876" t="n">
        <v>35</v>
      </c>
      <c r="O876" t="n">
        <v>-0.002</v>
      </c>
      <c r="P876" t="n">
        <v>0.06</v>
      </c>
      <c r="Q876" t="n">
        <v>-5.452</v>
      </c>
      <c r="R876" t="inlineStr">
        <is>
          <t>finbert</t>
        </is>
      </c>
      <c r="S876" t="inlineStr">
        <is>
          <t>Strong Earnings Boost Tech Stocks, SMCI Surges - GuruFocus</t>
        </is>
      </c>
      <c r="T876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6" t="inlineStr">
        <is>
          <t>Bitcoin jumps to $83,000, stocks rise as China GDP beats estimates - CoinDesk</t>
        </is>
      </c>
      <c r="V87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6" t="inlineStr">
        <is>
          <t>Dow outperforms as Wall Street rises, healthcare stocks lead gains - Reuters</t>
        </is>
      </c>
      <c r="X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6" t="inlineStr">
        <is>
          <t>Dow outperforms as Wall Street rises, healthcare stocks lead gains - Reuters</t>
        </is>
      </c>
      <c r="Z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6" t="inlineStr">
        <is>
          <t>Micron Just Broke Support, So Buy MUU Into Strength (NASDAQ:MU) - Seeking Alpha</t>
        </is>
      </c>
      <c r="AB87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6" t="inlineStr">
        <is>
          <t>Nasdaq 100 breaks 29,361 support, RSI at 23.5: Live levels - Investing.com</t>
        </is>
      </c>
      <c r="AD87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77">
      <c r="A877" t="inlineStr">
        <is>
          <t>2026-10-21T09:11:54+00:00</t>
        </is>
      </c>
      <c r="B877" t="inlineStr">
        <is>
          <t>2026-10-21</t>
        </is>
      </c>
      <c r="C877" t="inlineStr">
        <is>
          <t>Bitcoin</t>
        </is>
      </c>
      <c r="D877" t="inlineStr">
        <is>
          <t>BTC-USD</t>
        </is>
      </c>
      <c r="E877" t="n">
        <v>82572.2188</v>
      </c>
      <c r="F877" t="n">
        <v>83603.88280000001</v>
      </c>
      <c r="G877" t="n">
        <v>82545.63280000001</v>
      </c>
      <c r="H877" t="n">
        <v>83385.63280000001</v>
      </c>
      <c r="I877" t="n">
        <v>3141830656</v>
      </c>
      <c r="J877" t="n">
        <v>4</v>
      </c>
      <c r="K877" t="n">
        <v>39</v>
      </c>
      <c r="L877" t="n">
        <v>0.146</v>
      </c>
      <c r="M877" t="n">
        <v>0.032</v>
      </c>
      <c r="N877" t="n">
        <v>35</v>
      </c>
      <c r="O877" t="n">
        <v>0.51</v>
      </c>
      <c r="P877" t="n">
        <v>-0.247</v>
      </c>
      <c r="Q877" t="n">
        <v>13.787</v>
      </c>
      <c r="R877" t="inlineStr">
        <is>
          <t>finbert</t>
        </is>
      </c>
      <c r="S877" t="inlineStr">
        <is>
          <t>BTW surges 23% amid steady Bitcoin dominance at 59.5%, signaling selective altcoin momentum. - Pluang</t>
        </is>
      </c>
      <c r="T877" t="inlineStr">
        <is>
          <t>https://news.google.com/rss/articles/CBMiiwFBVV95cUxQSVdiNmlJd1FkdkdhRkNzaDRBWm8yTlpxRDR5ZjV0dWg4SDdPcTZhcVprOWl2RXhzMWxqb1l4cnlia1JtQmFGMkstSTcwTkJWUG9feDZPZWV5ZmFRWVd2TmgwOWFTUGdLc3hDelNVbDE0dnpKM1F6MGpnc3k5UDhLMVF6TGZyWEp2QzhV?oc=5</t>
        </is>
      </c>
      <c r="U877" t="inlineStr">
        <is>
          <t>Bitcoin Surges 40% In Its Best Quarter Since Late 2024 - Bitcoin Magazine</t>
        </is>
      </c>
      <c r="V87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77" t="inlineStr">
        <is>
          <t>Bitcoin jumps to $83,000, stocks rise as China GDP beats estimates - CoinDesk</t>
        </is>
      </c>
      <c r="X87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877" t="inlineStr">
        <is>
          <t>Monero Outperforms Bitcoin, Zcash And NEAR – XMR Shorts Face $179K In Liquidations - TradingView</t>
        </is>
      </c>
      <c r="Z877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7" t="inlineStr">
        <is>
          <t>Bitcoin Analysis: BTC Is Clinging to Its 50-Day Average. How Low Could It Go if That Breaks? - 24/7 Wall St.</t>
        </is>
      </c>
      <c r="AB877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77" t="inlineStr">
        <is>
          <t>Today's Crypto News: Bitcoin, Ether and Altcoin Insights - Investing News Network</t>
        </is>
      </c>
      <c r="AD877" t="inlineStr">
        <is>
          <t>https://news.google.com/rss/articles/CBMiZEFVX3lxTE9PU3pBdGY0NWJMSWFUTFRDUGx3RklNQlNENWdlQjBiNG9meUo5andqSHFER0lkNlhEaFVwOXpLYWZseVJ1YVZsU2Q4RzBWT1RoeUhTM19YaFljM2ZHcm5yMHYxTlc?oc=5</t>
        </is>
      </c>
    </row>
    <row r="878">
      <c r="A878" t="inlineStr">
        <is>
          <t>2026-10-21T16:47:09+00:00</t>
        </is>
      </c>
      <c r="B878" t="inlineStr">
        <is>
          <t>2026-10-21</t>
        </is>
      </c>
      <c r="C878" t="inlineStr">
        <is>
          <t>Gold</t>
        </is>
      </c>
      <c r="D878" t="inlineStr">
        <is>
          <t>GCZ26.CMX</t>
        </is>
      </c>
      <c r="E878" t="n">
        <v>4148</v>
      </c>
      <c r="F878" t="n">
        <v>4160</v>
      </c>
      <c r="G878" t="n">
        <v>4139.7002</v>
      </c>
      <c r="H878" t="n">
        <v>4145.7998</v>
      </c>
      <c r="I878" t="n">
        <v>35322</v>
      </c>
      <c r="J878" t="n">
        <v>4</v>
      </c>
      <c r="K878" t="n">
        <v>39</v>
      </c>
      <c r="L878" t="n">
        <v>0.053</v>
      </c>
      <c r="M878" t="n">
        <v>0.054</v>
      </c>
      <c r="N878" t="n">
        <v>40</v>
      </c>
      <c r="O878" t="n">
        <v>0.06900000000000001</v>
      </c>
      <c r="P878" t="n">
        <v>0.055</v>
      </c>
      <c r="Q878" t="n">
        <v>1.918</v>
      </c>
      <c r="R878" t="inlineStr">
        <is>
          <t>finbert</t>
        </is>
      </c>
      <c r="S878" t="inlineStr">
        <is>
          <t>Gold set for fresh record on strong precious metals sentiment - Yahoo Finance Singapore</t>
        </is>
      </c>
      <c r="T87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8" t="inlineStr">
        <is>
          <t>Bdan Says Gold Prices Surge 18% in a Month as Safe-Haven Demand Grows - bloomingbit</t>
        </is>
      </c>
      <c r="V878" t="inlineStr">
        <is>
          <t>https://news.google.com/rss/articles/CBMiVEFVX3lxTFBfVzcxS1BOc0hZaWdoS3Y2blo1TXF3RDZmUmdTb29xOHpwOVRjVHFMeGtFVENPMXBISUt2clJGX1dFTzI5Q01aY0QyS0oyTUhtWE8tSA?oc=5</t>
        </is>
      </c>
      <c r="W878" t="inlineStr">
        <is>
          <t>China gold market update: Q3 ends with strong official gold buying | Post by Ray Jia | Insights - World Gold Council</t>
        </is>
      </c>
      <c r="X87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8" t="inlineStr">
        <is>
          <t>UK crowned in a record quarter - World Gold Council</t>
        </is>
      </c>
      <c r="Z87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78" t="inlineStr">
        <is>
          <t>Gold market sees positive ETF inflows in July, ending two months of outflows - Kitco</t>
        </is>
      </c>
      <c r="AB87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8" t="inlineStr">
        <is>
          <t>Gold (XAUUSD) &amp; Silver Price Forecast: Gold Breaks $4,184, Can Silver Clear $61.72? - FXEmpire</t>
        </is>
      </c>
      <c r="AD87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9">
      <c r="A879" t="inlineStr">
        <is>
          <t>2026-10-21T16:47:09+00:00</t>
        </is>
      </c>
      <c r="B879" t="inlineStr">
        <is>
          <t>2026-10-21</t>
        </is>
      </c>
      <c r="C879" t="inlineStr">
        <is>
          <t>Oil</t>
        </is>
      </c>
      <c r="D879" t="inlineStr">
        <is>
          <t>CL=F</t>
        </is>
      </c>
      <c r="E879" t="n">
        <v>97.38</v>
      </c>
      <c r="F879" t="n">
        <v>97.98999999999999</v>
      </c>
      <c r="G879" t="n">
        <v>96.63</v>
      </c>
      <c r="H879" t="n">
        <v>97.23999999999999</v>
      </c>
      <c r="I879" t="n">
        <v>112878</v>
      </c>
      <c r="J879" t="n">
        <v>4</v>
      </c>
      <c r="K879" t="n">
        <v>40</v>
      </c>
      <c r="L879" t="n">
        <v>0.056</v>
      </c>
      <c r="M879" t="n">
        <v>-0.304</v>
      </c>
      <c r="N879" t="n">
        <v>40</v>
      </c>
      <c r="O879" t="n">
        <v>0.039</v>
      </c>
      <c r="P879" t="n">
        <v>-0.08400000000000001</v>
      </c>
      <c r="Q879" t="n">
        <v>1.919</v>
      </c>
      <c r="R879" t="inlineStr">
        <is>
          <t>finbert</t>
        </is>
      </c>
      <c r="S879" t="inlineStr">
        <is>
          <t>Crude oil inventories fall more than expected, indicating strong demand - Investing.com</t>
        </is>
      </c>
      <c r="T879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79" t="inlineStr">
        <is>
          <t>Oil surges 6%, Brent and US crude both surpass $100 on more tanker attacks - Reuters</t>
        </is>
      </c>
      <c r="V8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79" t="inlineStr">
        <is>
          <t>Wall Street gains as healthcare stocks rally, oil prices fall - CNA</t>
        </is>
      </c>
      <c r="X87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79" t="inlineStr">
        <is>
          <t>Current price of oil as of Oct. 19, 2026 - Fortune</t>
        </is>
      </c>
      <c r="Z879" t="inlineStr">
        <is>
          <t>https://news.google.com/rss/articles/CBMiYkFVX3lxTE5KYndkRDVoRzRjN3dZdTJjSVQyczNiUHRTdERRS0ljYmdzNndrR05WRVhpY3VINUwwZGhMT2tOQ1N6UktTVV9lbkFKTDhiN3RUVFNmZnNzRXIyM292Q0NsVHFB?oc=5</t>
        </is>
      </c>
      <c r="AA879" t="inlineStr">
        <is>
          <t>Crude Oil WTI breaks 200MA support at $88: Live levels By Investing.com - Investing.com South Africa</t>
        </is>
      </c>
      <c r="AB87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79" t="inlineStr">
        <is>
          <t>OPEC+ keeps oil output policy unchanged for October - Reuters</t>
        </is>
      </c>
      <c r="AD8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80">
      <c r="A880" t="inlineStr">
        <is>
          <t>2026-10-21T16:47:09+00:00</t>
        </is>
      </c>
      <c r="B880" t="inlineStr">
        <is>
          <t>2026-10-21</t>
        </is>
      </c>
      <c r="C880" t="inlineStr">
        <is>
          <t>US Dollar</t>
        </is>
      </c>
      <c r="D880" t="inlineStr">
        <is>
          <t>DX-Y.NYB</t>
        </is>
      </c>
      <c r="E880" t="n">
        <v>101.674</v>
      </c>
      <c r="F880" t="n">
        <v>101.828</v>
      </c>
      <c r="G880" t="n">
        <v>101.651</v>
      </c>
      <c r="H880" t="n">
        <v>101.72</v>
      </c>
      <c r="I880" t="n">
        <v>0</v>
      </c>
      <c r="J880" t="n">
        <v>4</v>
      </c>
      <c r="K880" t="n">
        <v>40</v>
      </c>
      <c r="L880" t="n">
        <v>-0.047</v>
      </c>
      <c r="M880" t="n">
        <v>0.035</v>
      </c>
      <c r="N880" t="n">
        <v>37</v>
      </c>
      <c r="O880" t="n">
        <v>0.402</v>
      </c>
      <c r="P880" t="n">
        <v>-0.025</v>
      </c>
      <c r="Q880" t="n">
        <v>8.002000000000001</v>
      </c>
      <c r="R880" t="inlineStr">
        <is>
          <t>finbert</t>
        </is>
      </c>
      <c r="S880" t="inlineStr">
        <is>
          <t>Gold futures extend gains as safe-haven demand picks up. - CME Group</t>
        </is>
      </c>
      <c r="T88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0" t="inlineStr">
        <is>
          <t>Canadian Dollar gains momentum on rising oil prices, hawkish BoC rate hike bets - FXStreet</t>
        </is>
      </c>
      <c r="V88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0" t="inlineStr">
        <is>
          <t>US Dollar Price Forecast: Rising Yields Lift DXY as EUR/USD and GBP/USD Diverge - Yahoo Finance</t>
        </is>
      </c>
      <c r="X88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880" t="inlineStr">
        <is>
          <t>DXY Falls on Thursday - TradingView</t>
        </is>
      </c>
      <c r="Z88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0" t="inlineStr">
        <is>
          <t>The bond market sell-off is helping the dollar - The Economist</t>
        </is>
      </c>
      <c r="AB88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0" t="inlineStr">
        <is>
          <t>Dollar-Yen Capped by Dovish Remarks from New York Fed President, Hovers in Lower 158 Range - BigGo Finance</t>
        </is>
      </c>
      <c r="AD88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81">
      <c r="A881" t="inlineStr">
        <is>
          <t>2026-10-21T16:47:09+00:00</t>
        </is>
      </c>
      <c r="B881" t="inlineStr">
        <is>
          <t>2026-10-21</t>
        </is>
      </c>
      <c r="C881" t="inlineStr">
        <is>
          <t>S&amp;P 500</t>
        </is>
      </c>
      <c r="D881" t="inlineStr">
        <is>
          <t>ES=F</t>
        </is>
      </c>
      <c r="E881" t="n">
        <v>7779.25</v>
      </c>
      <c r="F881" t="n">
        <v>7796.75</v>
      </c>
      <c r="G881" t="n">
        <v>7751</v>
      </c>
      <c r="H881" t="n">
        <v>7792</v>
      </c>
      <c r="I881" t="n">
        <v>652230</v>
      </c>
      <c r="J881" t="n">
        <v>4</v>
      </c>
      <c r="K881" t="n">
        <v>39</v>
      </c>
      <c r="L881" t="n">
        <v>-0.294</v>
      </c>
      <c r="M881" t="n">
        <v>0.162</v>
      </c>
      <c r="N881" t="n">
        <v>38</v>
      </c>
      <c r="O881" t="n">
        <v>0.235</v>
      </c>
      <c r="P881" t="n">
        <v>-0.033</v>
      </c>
      <c r="Q881" t="n">
        <v>-0.761</v>
      </c>
      <c r="R881" t="inlineStr">
        <is>
          <t>finbert</t>
        </is>
      </c>
      <c r="S881" t="inlineStr">
        <is>
          <t>IBRX Breaks Above This Key Resistance — Stock On Track To Record Best Single-Day Gains In 6 Months - Yahoo Finance</t>
        </is>
      </c>
      <c r="T8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81" t="inlineStr">
        <is>
          <t>Dow outperforms as Wall Street rises, healthcare stocks lead gains - Reuters</t>
        </is>
      </c>
      <c r="V881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881" t="inlineStr">
        <is>
          <t>Stock market today, October 21, 2026: VN-Index surges strongly, reclaiming the 1,730 point mark. - Vietnam.vn</t>
        </is>
      </c>
      <c r="X881" t="inlineStr">
        <is>
          <t>https://news.google.com/rss/articles/CBMipAFBVV95cUxQNE1PNEZXVi1MdjB5RmEyZEJsSFJkTUFIZU41U0VLQ3FUNTBuMDFCMFpKX1BqM1NLSWhtdGV4QTZtT0g1eGhrNENTSXZtWWJwV205V0p1T3lidnQ3R29yMHRHYmRvQTE0TXBJdWotREJGbkh1X2xBa3M4TG9CWENrQlJFOG5EY1llTHRudmpmMVFMU3N2UWo4TnFYWjRhdHhLTVhleA?oc=5</t>
        </is>
      </c>
      <c r="Y881" t="inlineStr">
        <is>
          <t>The S&amp;P 500 usually falls in September. Why this year should be different. - MarketWatch</t>
        </is>
      </c>
      <c r="Z881" t="inlineStr">
        <is>
          <t>https://news.google.com/rss/articles/CBMitgFBVV95cUxPaFZjanNkb2hhZVpRNW1LWV9pWkFoLU5TOTVLUEVkZ3F6WGttdEU4SU1hcEplM2RJZ0dVRVhBVjJiZTdYaGxrSVRUZzBWNVo0dV9scGJEWk9ZMF8tLUxOTWF6VjNoUGdSalYtQm5SOWNVNVZSeUVpY1RzUmR6dUJtbUpkYm5QWVBfYUtKRDNSUW1tVVpsTkdNQjFYUlotc3AtcVpZMkJMM2VJOHhLa3h2ZGlyZHltQQ?oc=5</t>
        </is>
      </c>
      <c r="AA881" t="inlineStr">
        <is>
          <t>Dow Drops 175, Nasdaq Loses 573, S&amp;P 500 Falls 85 - TV News Check</t>
        </is>
      </c>
      <c r="AB88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1" t="inlineStr">
        <is>
          <t>Dow jumps 500 points as earnings optimism steadies market: Live updates - CNBC</t>
        </is>
      </c>
      <c r="AD88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2">
      <c r="A882" t="inlineStr">
        <is>
          <t>2026-10-21T16:47:09+00:00</t>
        </is>
      </c>
      <c r="B882" t="inlineStr">
        <is>
          <t>2026-10-21</t>
        </is>
      </c>
      <c r="C882" t="inlineStr">
        <is>
          <t>Nasdaq</t>
        </is>
      </c>
      <c r="D882" t="inlineStr">
        <is>
          <t>NQ=F</t>
        </is>
      </c>
      <c r="E882" t="n">
        <v>29856.25</v>
      </c>
      <c r="F882" t="n">
        <v>30095</v>
      </c>
      <c r="G882" t="n">
        <v>29771</v>
      </c>
      <c r="H882" t="n">
        <v>30028</v>
      </c>
      <c r="I882" t="n">
        <v>281444</v>
      </c>
      <c r="J882" t="n">
        <v>4</v>
      </c>
      <c r="K882" t="n">
        <v>38</v>
      </c>
      <c r="L882" t="n">
        <v>-0.316</v>
      </c>
      <c r="M882" t="n">
        <v>0.121</v>
      </c>
      <c r="N882" t="n">
        <v>34</v>
      </c>
      <c r="O882" t="n">
        <v>0.041</v>
      </c>
      <c r="P882" t="n">
        <v>0.059</v>
      </c>
      <c r="Q882" t="n">
        <v>-3.306</v>
      </c>
      <c r="R882" t="inlineStr">
        <is>
          <t>finbert</t>
        </is>
      </c>
      <c r="S882" t="inlineStr">
        <is>
          <t>Strong Earnings Boost Tech Stocks, SMCI Surges - GuruFocus</t>
        </is>
      </c>
      <c r="T882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82" t="inlineStr">
        <is>
          <t>Memory Chip Stocks Surge in Premarket; SK Hynix Up Over 4%, SpaceX Jumps 10% on Earnings Beat - BigGo Finance</t>
        </is>
      </c>
      <c r="V882" t="inlineStr">
        <is>
          <t>https://news.google.com/rss/articles/CBMidkFVX3lxTE5fZTNmOW0yZGNaZXRGUGFnSXdocUFoOGpndkZuLXJhSXdjVlR3cDF1Z1VUR0F4YTNvQlVJWEV0NlgwYXVQMXdnRy02TWFpbXN0a0ZKTTE0cGNfcGEyZlB3R1BNczBhYTBtM1NnaHdub3FRQ3NxNlE?oc=5</t>
        </is>
      </c>
      <c r="W882" t="inlineStr">
        <is>
          <t>SpaceX Boosts the A.I. Rally - The New York Times</t>
        </is>
      </c>
      <c r="X882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2" t="inlineStr">
        <is>
          <t>Dow outperforms as Wall Street rises, healthcare stocks lead gains - Reuters</t>
        </is>
      </c>
      <c r="Z88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2" t="inlineStr">
        <is>
          <t>Micron Just Broke Support, So Buy MUU Into Strength (NASDAQ:MU) - Seeking Alpha</t>
        </is>
      </c>
      <c r="AB88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2" t="inlineStr">
        <is>
          <t>Nasdaq 100 breaks 29,361 support, RSI at 23.5: Live levels - Investing.com</t>
        </is>
      </c>
      <c r="AD88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3">
      <c r="A883" t="inlineStr">
        <is>
          <t>2026-10-21T16:47:09+00:00</t>
        </is>
      </c>
      <c r="B883" t="inlineStr">
        <is>
          <t>2026-10-21</t>
        </is>
      </c>
      <c r="C883" t="inlineStr">
        <is>
          <t>Bitcoin</t>
        </is>
      </c>
      <c r="D883" t="inlineStr">
        <is>
          <t>BTC-USD</t>
        </is>
      </c>
      <c r="E883" t="n">
        <v>83397.03909999999</v>
      </c>
      <c r="F883" t="n">
        <v>84850.99219999999</v>
      </c>
      <c r="G883" t="n">
        <v>83154.00780000001</v>
      </c>
      <c r="H883" t="n">
        <v>84554.22659999999</v>
      </c>
      <c r="I883" t="n">
        <v>6083430400</v>
      </c>
      <c r="J883" t="n">
        <v>4</v>
      </c>
      <c r="K883" t="n">
        <v>39</v>
      </c>
      <c r="L883" t="n">
        <v>0.121</v>
      </c>
      <c r="M883" t="n">
        <v>0.011</v>
      </c>
      <c r="N883" t="n">
        <v>35</v>
      </c>
      <c r="O883" t="n">
        <v>0.5649999999999999</v>
      </c>
      <c r="P883" t="n">
        <v>-0.242</v>
      </c>
      <c r="Q883" t="n">
        <v>14.232</v>
      </c>
      <c r="R883" t="inlineStr">
        <is>
          <t>finbert</t>
        </is>
      </c>
      <c r="S883" t="inlineStr">
        <is>
          <t>Bitcoin Surges 40% In Its Best Quarter Since Late 2024 - Bitcoin Magazine</t>
        </is>
      </c>
      <c r="T88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83" t="inlineStr">
        <is>
          <t>Bitcoin jumps to $83,000, stocks rise as China GDP beats estimates - CoinDesk</t>
        </is>
      </c>
      <c r="V88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3" t="inlineStr">
        <is>
          <t>Bitcoin surges 22% for the week as investor optimism floods back - CNBC</t>
        </is>
      </c>
      <c r="X8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83" t="inlineStr">
        <is>
          <t>Binance data shows Bitcoin liquidation clusters stacked around $87K - TradingView</t>
        </is>
      </c>
      <c r="Z883" t="inlineStr">
        <is>
          <t>https://news.google.com/rss/articles/CBMiywFBVV95cUxONlRRV1FnYzY0MUdPVEdlVDFfTVEzenI4VE1fZkhfODV3OG9ON084MklsNW9WeWIyZnVUNm51S1NPakt1WThublI2MTR2RUZEaS04WTFFMU9HTGxWS0xEcDVKd25ZN1hISml0SmhtRVhGOTZabDNLbEcwcHlrMGdETnUzcW5DVTdoc3dtdUVqMzlZeExEQ2hmQkl4amd2OFhPSEZfOWR4TEk0TUpVS0JGUDhwRktBTzV3NVJZV1dubS00emRmbjUzeXc4TQ?oc=5</t>
        </is>
      </c>
      <c r="AA883" t="inlineStr">
        <is>
          <t>CZ Says Peter Schiff Will Be Right About Bitcoin One Day. There’s a Catch - BeInCrypto</t>
        </is>
      </c>
      <c r="AB883" t="inlineStr">
        <is>
          <t>https://news.google.com/rss/articles/CBMiakFVX3lxTE9lX1lTWHhKVGUzZi1ZM2tWaGZVcnB6XzBUMlRNOFo5ejBRZ1NfNmxCSTROSEdQa1VJRVlmMGVPSWZMc0kzTEwzelJPZG1kWUFkSXV2NHRqOVYzOGszZEdVSFlUaF9SQVp4alE?oc=5</t>
        </is>
      </c>
      <c r="AC883" t="inlineStr">
        <is>
          <t>Nearly $1 billion in crypto bets liquidated as bitcoin, ether and XRP slide - CoinDesk</t>
        </is>
      </c>
      <c r="AD88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84">
      <c r="A884" t="inlineStr">
        <is>
          <t>2026-10-21T23:04:33+00:00</t>
        </is>
      </c>
      <c r="B884" t="inlineStr">
        <is>
          <t>2026-10-21</t>
        </is>
      </c>
      <c r="C884" t="inlineStr">
        <is>
          <t>Gold</t>
        </is>
      </c>
      <c r="D884" t="inlineStr">
        <is>
          <t>GCZ26.CMX</t>
        </is>
      </c>
      <c r="E884" t="n">
        <v>4155</v>
      </c>
      <c r="F884" t="n">
        <v>4164.2998</v>
      </c>
      <c r="G884" t="n">
        <v>4122.2998</v>
      </c>
      <c r="H884" t="n">
        <v>4147.7998</v>
      </c>
      <c r="I884" t="n">
        <v>24021</v>
      </c>
      <c r="J884" t="n">
        <v>4</v>
      </c>
      <c r="K884" t="n">
        <v>39</v>
      </c>
      <c r="L884" t="n">
        <v>0.101</v>
      </c>
      <c r="M884" t="n">
        <v>0.002</v>
      </c>
      <c r="N884" t="n">
        <v>40</v>
      </c>
      <c r="O884" t="n">
        <v>0.075</v>
      </c>
      <c r="P884" t="n">
        <v>0.043</v>
      </c>
      <c r="Q884" t="n">
        <v>2.959</v>
      </c>
      <c r="R884" t="inlineStr">
        <is>
          <t>finbert</t>
        </is>
      </c>
      <c r="S884" t="inlineStr">
        <is>
          <t>Gold set for fresh record on strong precious metals sentiment - Yahoo Finance Singapore</t>
        </is>
      </c>
      <c r="T88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84" t="inlineStr">
        <is>
          <t>Royal Mint sees record silver and platinum sales, renewed gold demand despite higher prices and rising bond yields - Kitco</t>
        </is>
      </c>
      <c r="V88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84" t="inlineStr">
        <is>
          <t>China’s central bank buys 21 tonnes of gold in September, largest monthly purchase in 3 years - Kitco</t>
        </is>
      </c>
      <c r="X8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884" t="inlineStr">
        <is>
          <t>First-half gold ETF flows remained positive – World Gold Council - Mining Weekly</t>
        </is>
      </c>
      <c r="Z8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84" t="inlineStr">
        <is>
          <t>Gold market sees positive ETF inflows in July, ending two months of outflows - Kitco</t>
        </is>
      </c>
      <c r="AB88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84" t="inlineStr">
        <is>
          <t>Gold (XAUUSD) &amp; Silver Price Forecast: Gold Breaks $4,184, Can Silver Clear $61.72? - FXEmpire</t>
        </is>
      </c>
      <c r="AD88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85">
      <c r="A885" t="inlineStr">
        <is>
          <t>2026-10-21T23:04:33+00:00</t>
        </is>
      </c>
      <c r="B885" t="inlineStr">
        <is>
          <t>2026-10-21</t>
        </is>
      </c>
      <c r="C885" t="inlineStr">
        <is>
          <t>Oil</t>
        </is>
      </c>
      <c r="D885" t="inlineStr">
        <is>
          <t>CL=F</t>
        </is>
      </c>
      <c r="E885" t="n">
        <v>96.92</v>
      </c>
      <c r="F885" t="n">
        <v>98.61</v>
      </c>
      <c r="G885" t="n">
        <v>96.8</v>
      </c>
      <c r="H885" t="n">
        <v>98.05</v>
      </c>
      <c r="I885" t="n">
        <v>59928</v>
      </c>
      <c r="J885" t="n">
        <v>4</v>
      </c>
      <c r="K885" t="n">
        <v>40</v>
      </c>
      <c r="L885" t="n">
        <v>0.035</v>
      </c>
      <c r="M885" t="n">
        <v>-0.259</v>
      </c>
      <c r="N885" t="n">
        <v>40</v>
      </c>
      <c r="O885" t="n">
        <v>-0.093</v>
      </c>
      <c r="P885" t="n">
        <v>-0.079</v>
      </c>
      <c r="Q885" t="n">
        <v>-1.158</v>
      </c>
      <c r="R885" t="inlineStr">
        <is>
          <t>finbert</t>
        </is>
      </c>
      <c r="S885" t="inlineStr">
        <is>
          <t>Crude oil inventories fall more than expected, indicating strong demand - Investing.com</t>
        </is>
      </c>
      <c r="T885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85" t="inlineStr">
        <is>
          <t>Iran War Raises Demand for US Fuel, Boosting Gulf Coast Refining Margins - EnergyNow.com</t>
        </is>
      </c>
      <c r="V88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885" t="inlineStr">
        <is>
          <t>Oil surges 6%, Brent and US crude both surpass $100 on more tanker attacks - Reuters</t>
        </is>
      </c>
      <c r="X88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885" t="inlineStr">
        <is>
          <t>Saudi Arabia leads OPEC+ production increase: September crude oil daily output rises by 900,000 barrels month-on-month - 富途牛牛</t>
        </is>
      </c>
      <c r="Z88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85" t="inlineStr">
        <is>
          <t>OPEC+ output rises 903,000 bpd in September as Saudi Arabia leads; OPEC lifts 2027 demand growth forecast - Oil &amp; Gas Middle East</t>
        </is>
      </c>
      <c r="AB885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85" t="inlineStr">
        <is>
          <t>Gulf oil production rebounds ahead of increase in Iran war hostilities - Financial Times</t>
        </is>
      </c>
      <c r="AD88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86">
      <c r="A886" t="inlineStr">
        <is>
          <t>2026-10-21T23:04:33+00:00</t>
        </is>
      </c>
      <c r="B886" t="inlineStr">
        <is>
          <t>2026-10-21</t>
        </is>
      </c>
      <c r="C886" t="inlineStr">
        <is>
          <t>US Dollar</t>
        </is>
      </c>
      <c r="D886" t="inlineStr">
        <is>
          <t>DX-Y.NYB</t>
        </is>
      </c>
      <c r="E886" t="n">
        <v>101.78</v>
      </c>
      <c r="F886" t="n">
        <v>101.838</v>
      </c>
      <c r="G886" t="n">
        <v>101.678</v>
      </c>
      <c r="H886" t="n">
        <v>101.691</v>
      </c>
      <c r="I886" t="n">
        <v>0</v>
      </c>
      <c r="J886" t="n">
        <v>4</v>
      </c>
      <c r="K886" t="n">
        <v>40</v>
      </c>
      <c r="L886" t="n">
        <v>-0.031</v>
      </c>
      <c r="M886" t="n">
        <v>0.08799999999999999</v>
      </c>
      <c r="N886" t="n">
        <v>36</v>
      </c>
      <c r="O886" t="n">
        <v>0.37</v>
      </c>
      <c r="P886" t="n">
        <v>-0.008</v>
      </c>
      <c r="Q886" t="n">
        <v>8.038</v>
      </c>
      <c r="R886" t="inlineStr">
        <is>
          <t>finbert</t>
        </is>
      </c>
      <c r="S886" t="inlineStr">
        <is>
          <t>Gold futures extend gains as safe-haven demand picks up. - CME Group</t>
        </is>
      </c>
      <c r="T88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6" t="inlineStr">
        <is>
          <t>Canadian Dollar gains momentum on rising oil prices, hawkish BoC rate hike bets - FXStreet</t>
        </is>
      </c>
      <c r="V88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6" t="inlineStr">
        <is>
          <t>Gold approaches $4,170, silver gains 3% as bond rally lifts precious metals - Kitco PM Report - Kitco</t>
        </is>
      </c>
      <c r="X88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86" t="inlineStr">
        <is>
          <t>DXY Falls on Thursday - TradingView</t>
        </is>
      </c>
      <c r="Z88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6" t="inlineStr">
        <is>
          <t>The bond market sell-off is helping the dollar - The Economist</t>
        </is>
      </c>
      <c r="AB88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6" t="inlineStr">
        <is>
          <t>Dollar Index falls following Iran deal report, then stabilises after denial - www.tmgm.com</t>
        </is>
      </c>
      <c r="AD88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87">
      <c r="A887" t="inlineStr">
        <is>
          <t>2026-10-21T23:04:33+00:00</t>
        </is>
      </c>
      <c r="B887" t="inlineStr">
        <is>
          <t>2026-10-21</t>
        </is>
      </c>
      <c r="C887" t="inlineStr">
        <is>
          <t>S&amp;P 500</t>
        </is>
      </c>
      <c r="D887" t="inlineStr">
        <is>
          <t>ES=F</t>
        </is>
      </c>
      <c r="E887" t="n">
        <v>7805.25</v>
      </c>
      <c r="F887" t="n">
        <v>7812.25</v>
      </c>
      <c r="G887" t="n">
        <v>7771</v>
      </c>
      <c r="H887" t="n">
        <v>7775</v>
      </c>
      <c r="I887" t="n">
        <v>559814</v>
      </c>
      <c r="J887" t="n">
        <v>4</v>
      </c>
      <c r="K887" t="n">
        <v>39</v>
      </c>
      <c r="L887" t="n">
        <v>-0.254</v>
      </c>
      <c r="M887" t="n">
        <v>0.178</v>
      </c>
      <c r="N887" t="n">
        <v>38</v>
      </c>
      <c r="O887" t="n">
        <v>0.249</v>
      </c>
      <c r="P887" t="n">
        <v>-0.028</v>
      </c>
      <c r="Q887" t="n">
        <v>0.271</v>
      </c>
      <c r="R887" t="inlineStr">
        <is>
          <t>finbert</t>
        </is>
      </c>
      <c r="S887" t="inlineStr">
        <is>
          <t>Spacex beats estimates, rekindles AI rally as Wall Street indexes rise - CHOSUNBIZ - Chosunbiz</t>
        </is>
      </c>
      <c r="T887" t="inlineStr">
        <is>
          <t>https://news.google.com/rss/articles/CBMiiAFBVV95cUxQMFRLTnBqLVJ6UGlGbXlCb2dqT21kcUJ5aFV6TEw4cW53aVUxbW1pTk12V2FvZHdpRGs0NFhzLXBzcVZIOXBaS0RrRzY5TDRUR0loYzBrNHBGYWdQUFpqb1pzOVlVSm9QcmZ4UWNHZGp0emhSVFJHdDl5WjFaZ2NTSVRtaUJGV3FH0gGcAUFVX3lxTE9YVG11b0pCWHBpWHFiWVV1N09Valpjd0VDZDRxd005MDdyNEJ0cTRIbzJJM3JSeVZ5elZ6N0kybDdENko1bGVrZWJfc3NjUmZmN19oVEhweHVtMi1oV0FmY1BkclVkcm9lTHhKNDR1bVozOS1TRkF0a2NJVEEzS2lUN3RtM1BMcmcxZU8xUjAtLVJPZTBnRUI4Z2hZcQ?oc=5</t>
        </is>
      </c>
      <c r="U887" t="inlineStr">
        <is>
          <t>Stock Market Today, Oct. 21: Space Exploration Technologies Surges on Q3 Earnings Beat - Yahoo Finance</t>
        </is>
      </c>
      <c r="V88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87" t="inlineStr">
        <is>
          <t>Dow outperforms as Wall Street rises, healthcare stocks lead gains - Reuters</t>
        </is>
      </c>
      <c r="X887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87" t="inlineStr">
        <is>
          <t>Stellantis stock breaks through its €3.83 support level and records a five-year low - Ideal Investisseur</t>
        </is>
      </c>
      <c r="Z88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87" t="inlineStr">
        <is>
          <t>Dow Drops 175, Nasdaq Loses 573, S&amp;P 500 Falls 85 - TV News Check</t>
        </is>
      </c>
      <c r="AB88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7" t="inlineStr">
        <is>
          <t>Dow jumps 500 points as earnings optimism steadies market: Live updates - CNBC</t>
        </is>
      </c>
      <c r="AD88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8">
      <c r="A888" t="inlineStr">
        <is>
          <t>2026-10-21T23:04:33+00:00</t>
        </is>
      </c>
      <c r="B888" t="inlineStr">
        <is>
          <t>2026-10-21</t>
        </is>
      </c>
      <c r="C888" t="inlineStr">
        <is>
          <t>Nasdaq</t>
        </is>
      </c>
      <c r="D888" t="inlineStr">
        <is>
          <t>NQ=F</t>
        </is>
      </c>
      <c r="E888" t="n">
        <v>30049.75</v>
      </c>
      <c r="F888" t="n">
        <v>30088.75</v>
      </c>
      <c r="G888" t="n">
        <v>29831.75</v>
      </c>
      <c r="H888" t="n">
        <v>29849.5</v>
      </c>
      <c r="I888" t="n">
        <v>164368</v>
      </c>
      <c r="J888" t="n">
        <v>4</v>
      </c>
      <c r="K888" t="n">
        <v>38</v>
      </c>
      <c r="L888" t="n">
        <v>-0.253</v>
      </c>
      <c r="M888" t="n">
        <v>0.154</v>
      </c>
      <c r="N888" t="n">
        <v>34</v>
      </c>
      <c r="O888" t="n">
        <v>0.06</v>
      </c>
      <c r="P888" t="n">
        <v>0.056</v>
      </c>
      <c r="Q888" t="n">
        <v>-1.787</v>
      </c>
      <c r="R888" t="inlineStr">
        <is>
          <t>finbert</t>
        </is>
      </c>
      <c r="S888" t="inlineStr">
        <is>
          <t>Wall Street ends higher on surge in health care stocks, solid earnings - Investing.com</t>
        </is>
      </c>
      <c r="T888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88" t="inlineStr">
        <is>
          <t>A strong profit report from SpaceX helps lift tech stocks and Wall Street - AP News</t>
        </is>
      </c>
      <c r="V888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88" t="inlineStr">
        <is>
          <t>SpaceX Boosts the A.I. Rally - The New York Times</t>
        </is>
      </c>
      <c r="X888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8" t="inlineStr">
        <is>
          <t>Dow outperforms as Wall Street rises, healthcare stocks lead gains - Reuters</t>
        </is>
      </c>
      <c r="Z88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8" t="inlineStr">
        <is>
          <t>Micron Just Broke Support, So Buy MUU Into Strength (NASDAQ:MU) - Seeking Alpha</t>
        </is>
      </c>
      <c r="AB88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8" t="inlineStr">
        <is>
          <t>Nasdaq 100 breaks 29,361 support, RSI at 23.5: Live levels - Investing.com</t>
        </is>
      </c>
      <c r="AD88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9">
      <c r="A889" t="inlineStr">
        <is>
          <t>2026-10-21T23:04:33+00:00</t>
        </is>
      </c>
      <c r="B889" t="inlineStr">
        <is>
          <t>2026-10-21</t>
        </is>
      </c>
      <c r="C889" t="inlineStr">
        <is>
          <t>Bitcoin</t>
        </is>
      </c>
      <c r="D889" t="inlineStr">
        <is>
          <t>BTC-USD</t>
        </is>
      </c>
      <c r="E889" t="n">
        <v>84459.5469</v>
      </c>
      <c r="F889" t="n">
        <v>84779.72659999999</v>
      </c>
      <c r="G889" t="n">
        <v>84348.8906</v>
      </c>
      <c r="H889" t="n">
        <v>84348.8906</v>
      </c>
      <c r="I889" t="n">
        <v>1684197376</v>
      </c>
      <c r="J889" t="n">
        <v>4</v>
      </c>
      <c r="K889" t="n">
        <v>37</v>
      </c>
      <c r="L889" t="n">
        <v>-0.023</v>
      </c>
      <c r="M889" t="n">
        <v>0.032</v>
      </c>
      <c r="N889" t="n">
        <v>35</v>
      </c>
      <c r="O889" t="n">
        <v>0.611</v>
      </c>
      <c r="P889" t="n">
        <v>-0.261</v>
      </c>
      <c r="Q889" t="n">
        <v>11.265</v>
      </c>
      <c r="R889" t="inlineStr">
        <is>
          <t>finbert</t>
        </is>
      </c>
      <c r="S889" t="inlineStr">
        <is>
          <t>Bitcoin surges to $83.3K as US stocks climb on strong Q3 earnings and oil prices drop - Pluang</t>
        </is>
      </c>
      <c r="T88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889" t="inlineStr">
        <is>
          <t>Bitcoin jumps to $83,000, stocks rise as China GDP beats estimates - CoinDesk</t>
        </is>
      </c>
      <c r="V88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9" t="inlineStr">
        <is>
          <t>Bitcoin and ethereum prices today, Wednesday, October 21, 2026: Crypto to outperform stocks and gold? - Yahoo Finance</t>
        </is>
      </c>
      <c r="X889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889" t="inlineStr">
        <is>
          <t>Short Positions Account for 59% of $229.9 Million in Crypto Liquidations - www.tokenpost.com</t>
        </is>
      </c>
      <c r="Z889" t="inlineStr">
        <is>
          <t>https://news.google.com/rss/articles/CBMiWkFVX3lxTE5xZjVfZm1EQXBobGJndnpHV0xkTGpzeDVxNzR6X2RTTFhJcHE4LV9oVlRVOHRKd2Z0YXdVY25WSVJJTTdOSWFFVFRqRmFEY1VFZ3ZBOC1oWDVYQQ?oc=5</t>
        </is>
      </c>
      <c r="AA889" t="inlineStr">
        <is>
          <t>CZ Says Peter Schiff Will Be Right About Bitcoin One Day. There’s a Catch - BeInCrypto</t>
        </is>
      </c>
      <c r="AB889" t="inlineStr">
        <is>
          <t>https://news.google.com/rss/articles/CBMiakFVX3lxTE9lX1lTWHhKVGUzZi1ZM2tWaGZVcnB6XzBUMlRNOFo5ejBRZ1NfNmxCSTROSEdQa1VJRVlmMGVPSWZMc0kzTEwzelJPZG1kWUFkSXV2NHRqOVYzOGszZEdVSFlUaF9SQVp4alE?oc=5</t>
        </is>
      </c>
      <c r="AC889" t="inlineStr">
        <is>
          <t>Nearly $1 billion in crypto bets liquidated as bitcoin, ether and XRP slide - CoinDesk</t>
        </is>
      </c>
      <c r="AD88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90">
      <c r="A890" t="inlineStr">
        <is>
          <t>2026-10-22T03:39:19+00:00</t>
        </is>
      </c>
      <c r="B890" t="inlineStr">
        <is>
          <t>2026-10-22</t>
        </is>
      </c>
      <c r="C890" t="inlineStr">
        <is>
          <t>Gold</t>
        </is>
      </c>
      <c r="D890" t="inlineStr">
        <is>
          <t>GCZ26.CMX</t>
        </is>
      </c>
      <c r="E890" t="n">
        <v>4142.6001</v>
      </c>
      <c r="F890" t="n">
        <v>4143.1001</v>
      </c>
      <c r="G890" t="n">
        <v>4111.7002</v>
      </c>
      <c r="H890" t="n">
        <v>4115.2998</v>
      </c>
      <c r="I890" t="n">
        <v>25238</v>
      </c>
      <c r="J890" t="n">
        <v>4</v>
      </c>
      <c r="K890" t="n">
        <v>38</v>
      </c>
      <c r="L890" t="n">
        <v>0.103</v>
      </c>
      <c r="M890" t="n">
        <v>0.07199999999999999</v>
      </c>
      <c r="N890" t="n">
        <v>40</v>
      </c>
      <c r="O890" t="n">
        <v>0.06</v>
      </c>
      <c r="P890" t="n">
        <v>0.062</v>
      </c>
      <c r="Q890" t="n">
        <v>2.154</v>
      </c>
      <c r="R890" t="inlineStr">
        <is>
          <t>finbert</t>
        </is>
      </c>
      <c r="S890" t="inlineStr">
        <is>
          <t>Gold set for fresh record on strong precious metals sentiment - Yahoo Finance Singapore</t>
        </is>
      </c>
      <c r="T89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0" t="inlineStr">
        <is>
          <t>Royal Mint sees record silver and platinum sales, renewed gold demand despite higher prices and rising bond yields - Kitco</t>
        </is>
      </c>
      <c r="V89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0" t="inlineStr">
        <is>
          <t>China gold market update: Q3 ends with strong official gold buying | Post by Ray Jia | Insights - World Gold Council</t>
        </is>
      </c>
      <c r="X89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0" t="inlineStr">
        <is>
          <t>UK crowned in a record quarter - World Gold Council</t>
        </is>
      </c>
      <c r="Z89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90" t="inlineStr">
        <is>
          <t>Gold market sees positive ETF inflows in July, ending two months of outflows - Kitco</t>
        </is>
      </c>
      <c r="AB8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0" t="inlineStr">
        <is>
          <t>Gold (XAUUSD) &amp; Silver Price Forecast: Gold Breaks $4,184, Can Silver Clear $61.72? - FXEmpire</t>
        </is>
      </c>
      <c r="AD89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1">
      <c r="A891" t="inlineStr">
        <is>
          <t>2026-10-22T03:39:19+00:00</t>
        </is>
      </c>
      <c r="B891" t="inlineStr">
        <is>
          <t>2026-10-22</t>
        </is>
      </c>
      <c r="C891" t="inlineStr">
        <is>
          <t>Oil</t>
        </is>
      </c>
      <c r="D891" t="inlineStr">
        <is>
          <t>CL=F</t>
        </is>
      </c>
      <c r="E891" t="n">
        <v>97.98</v>
      </c>
      <c r="F891" t="n">
        <v>98.51000000000001</v>
      </c>
      <c r="G891" t="n">
        <v>97.86</v>
      </c>
      <c r="H891" t="n">
        <v>98.45</v>
      </c>
      <c r="I891" t="n">
        <v>10554</v>
      </c>
      <c r="J891" t="n">
        <v>4</v>
      </c>
      <c r="K891" t="n">
        <v>40</v>
      </c>
      <c r="L891" t="n">
        <v>0.063</v>
      </c>
      <c r="M891" t="n">
        <v>-0.277</v>
      </c>
      <c r="N891" t="n">
        <v>40</v>
      </c>
      <c r="O891" t="n">
        <v>-0.023</v>
      </c>
      <c r="P891" t="n">
        <v>-0.08599999999999999</v>
      </c>
      <c r="Q891" t="n">
        <v>0.791</v>
      </c>
      <c r="R891" t="inlineStr">
        <is>
          <t>finbert</t>
        </is>
      </c>
      <c r="S891" t="inlineStr">
        <is>
          <t>Crude oil inventories fall more than expected, indicating strong demand By Investing.com - Investing.com India</t>
        </is>
      </c>
      <c r="T891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1" t="inlineStr">
        <is>
          <t>Oil surges 6%, Brent and US crude both surpass $100 on more tanker attacks - Reuters</t>
        </is>
      </c>
      <c r="V89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1" t="inlineStr">
        <is>
          <t>Wall Street gains as healthcare stocks rally, oil prices fall - CNA</t>
        </is>
      </c>
      <c r="X891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1" t="inlineStr">
        <is>
          <t>Saudi Arabia leads OPEC+ production increase: September crude oil daily output rises by 900,000 barrels month-on-month - 富途牛牛</t>
        </is>
      </c>
      <c r="Z89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91" t="inlineStr">
        <is>
          <t>Gulf oil production rebounds ahead of increase in Iran war hostilities - Financial Times</t>
        </is>
      </c>
      <c r="AB89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891" t="inlineStr">
        <is>
          <t>Current price of oil as of Oct. 19, 2026 - Fortune</t>
        </is>
      </c>
      <c r="AD891" t="inlineStr">
        <is>
          <t>https://news.google.com/rss/articles/CBMiYkFVX3lxTE5KYndkRDVoRzRjN3dZdTJjSVQyczNiUHRTdERRS0ljYmdzNndrR05WRVhpY3VINUwwZGhMT2tOQ1N6UktTVV9lbkFKTDhiN3RUVFNmZnNzRXIyM292Q0NsVHFB?oc=5</t>
        </is>
      </c>
    </row>
    <row r="892">
      <c r="A892" t="inlineStr">
        <is>
          <t>2026-10-22T03:39:19+00:00</t>
        </is>
      </c>
      <c r="B892" t="inlineStr">
        <is>
          <t>2026-10-22</t>
        </is>
      </c>
      <c r="C892" t="inlineStr">
        <is>
          <t>US Dollar</t>
        </is>
      </c>
      <c r="D892" t="inlineStr">
        <is>
          <t>DX-Y.NYB</t>
        </is>
      </c>
      <c r="E892" t="n">
        <v>101.688</v>
      </c>
      <c r="F892" t="n">
        <v>101.732</v>
      </c>
      <c r="G892" t="n">
        <v>101.5</v>
      </c>
      <c r="H892" t="n">
        <v>101.532</v>
      </c>
      <c r="I892" t="n">
        <v>0</v>
      </c>
      <c r="J892" t="n">
        <v>4</v>
      </c>
      <c r="K892" t="n">
        <v>40</v>
      </c>
      <c r="L892" t="n">
        <v>0.015</v>
      </c>
      <c r="M892" t="n">
        <v>0.056</v>
      </c>
      <c r="N892" t="n">
        <v>36</v>
      </c>
      <c r="O892" t="n">
        <v>0.375</v>
      </c>
      <c r="P892" t="n">
        <v>-0.058</v>
      </c>
      <c r="Q892" t="n">
        <v>9.035</v>
      </c>
      <c r="R892" t="inlineStr">
        <is>
          <t>finbert</t>
        </is>
      </c>
      <c r="S892" t="inlineStr">
        <is>
          <t>U.S. Dollar Gains From a New Wave of Safe Haven Demand - StoneX</t>
        </is>
      </c>
      <c r="T8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2" t="inlineStr">
        <is>
          <t>Canadian Dollar gains momentum on rising oil prices, hawkish BoC rate hike bets - FXStreet</t>
        </is>
      </c>
      <c r="V89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2" t="inlineStr">
        <is>
          <t>Silver advances above $57 as safe-haven demand offsets Fed fears - FXStreet</t>
        </is>
      </c>
      <c r="X892" t="inlineStr">
        <is>
          <t>https://news.google.com/rss/articles/CBMisAFBVV95cUxQZDNnVm9RUWIzVXFNYUpZZUlHLXR3a3hKTTh0MWlZWVVxWDlnU1M3RWVna2FTUmhGYmxKX3lLb3hpY3pBdFFXeUI0NlprcGxERFRuVzBmQ1dDUGp0eHlScExTSTR5VmNQNkVfeHQ1NUxqblpGTkZjamdLUktEOExxOUYybThqb1dyeW0taXZtcXo0VHF5QVZpbHVJcXBvNnEyOU1KNFhLdXhVNUhBdTdqUg?oc=5</t>
        </is>
      </c>
      <c r="Y892" t="inlineStr">
        <is>
          <t>DXY Falls on Thursday - TradingView</t>
        </is>
      </c>
      <c r="Z89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2" t="inlineStr">
        <is>
          <t>The bond market sell-off is helping the dollar - The Economist</t>
        </is>
      </c>
      <c r="AB89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2" t="inlineStr">
        <is>
          <t>Dollar Index falls following Iran deal report, then stabilises after denial - www.tmgm.com</t>
        </is>
      </c>
      <c r="AD89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3">
      <c r="A893" t="inlineStr">
        <is>
          <t>2026-10-22T03:39:19+00:00</t>
        </is>
      </c>
      <c r="B893" t="inlineStr">
        <is>
          <t>2026-10-22</t>
        </is>
      </c>
      <c r="C893" t="inlineStr">
        <is>
          <t>S&amp;P 500</t>
        </is>
      </c>
      <c r="D893" t="inlineStr">
        <is>
          <t>ES=F</t>
        </is>
      </c>
      <c r="E893" t="n">
        <v>7761.5</v>
      </c>
      <c r="F893" t="n">
        <v>7773.25</v>
      </c>
      <c r="G893" t="n">
        <v>7753.75</v>
      </c>
      <c r="H893" t="n">
        <v>7754.75</v>
      </c>
      <c r="I893" t="n">
        <v>56720</v>
      </c>
      <c r="J893" t="n">
        <v>4</v>
      </c>
      <c r="K893" t="n">
        <v>39</v>
      </c>
      <c r="L893" t="n">
        <v>-0.164</v>
      </c>
      <c r="M893" t="n">
        <v>0.156</v>
      </c>
      <c r="N893" t="n">
        <v>38</v>
      </c>
      <c r="O893" t="n">
        <v>0.25</v>
      </c>
      <c r="P893" t="n">
        <v>-0.098</v>
      </c>
      <c r="Q893" t="n">
        <v>2.048</v>
      </c>
      <c r="R893" t="inlineStr">
        <is>
          <t>finbert</t>
        </is>
      </c>
      <c r="S893" t="inlineStr">
        <is>
          <t>Stock Market Today, Oct. 21: Space Exploration Technologies Surges on Q3 Earnings Beat - Yahoo Finance</t>
        </is>
      </c>
      <c r="T89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U893" t="inlineStr">
        <is>
          <t>US Stock Market Today: S&amp;P 500, Nasdaq Gain On Latest Tranche Of Earnings; SpaceX Shares Surge 10% - NDTV Profit</t>
        </is>
      </c>
      <c r="V893" t="inlineStr">
        <is>
          <t>https://news.google.com/rss/articles/CBMi1AFBVV95cUxNV2YzRHN5Y3A2dnFVeERMQmpKSmlDbkw1Q2lhbU1WY1dqXzNLaWVBNXBDS3NwdE84eVJPakYtVDBFRm9aczhYZUx3dTh6X2pvUjFrVEh4ZUx5VVN5S1VkQ01oUjYxV2h1cHVteHVpb2pVSDBWaGhEYmNjMlNTVWdCUWE1LWtjanpRci1LOG9lbWxIOWdGeGszbmxUMkZLNFhIUlFwcUJhd1R3WWMtLVdscmxwQzJ1Vnd0aVpzMzgwUEdaOG8wdzJKMjJoUWt0amdxakVKS9IB3AFBVV95cUxQaHVUcUQ5a0xPWmE2T3ZDWFhKT0R0LXNPdkJQUHVROW9jOGxNWENNbUxJa1dESS1EeGF3MHY4dGw3UUxYVlFmOVdnTW5MRzM1Z1pxdlBVTnJSaXBock1CZlNZekhySDRDM3pwSWl1aGdjLTg0SGFkV21aVFpYTi00Ym9GQmxwV0VrTlZoWHFSbWxDcFQ5M0RrZzVCbG9Wd3NjcW9aY1Z3M2RoR1BDQk1vb2JHMzFXSkFyMnFtYkg2LWJ1VEZmZ1c4WFV5WHhBTXFoajlsRWxPSWJOQ0p4?oc=5</t>
        </is>
      </c>
      <c r="W893" t="inlineStr">
        <is>
          <t>The S&amp;P 500 holds gains despite pushback on an imminent US-Iran deal as hopes stay high ahead of midterms - investingLive</t>
        </is>
      </c>
      <c r="X893" t="inlineStr">
        <is>
          <t>https://news.google.com/rss/articles/CBMi1gFBVV95cUxQMmltLWJydFh4LVhpM1otUnJKQWM5MzY4a1A2Ny1ta25sWm1GcVQyeGlLYUNSSFlqaG1XbmRzRFY4R2s5QVpVbDJxOGJvakgtNzExVk9xYXBBcHl6a216Nkw2aEx0U3BaaHFKZ09CN3BvUDQxM09pNU1rRW5rTTNYUGtjdktnQWVIUDlpaW44QnVKT1NZdXdqb3hOVzZwVGtSUFUxV0RHSnhndGdEUFd0U0ptand2cnotclI1aWphR0tBMmtQcktDS2JjRy0yZ0lYSDlkOHBn?oc=5</t>
        </is>
      </c>
      <c r="Y893" t="inlineStr">
        <is>
          <t>Stellantis stock breaks through its €3.83 support level and records a five-year low - Ideal Investisseur</t>
        </is>
      </c>
      <c r="Z89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3" t="inlineStr">
        <is>
          <t>Dow Drops 175, Nasdaq Loses 573, S&amp;P 500 Falls 85 - TV News Check</t>
        </is>
      </c>
      <c r="AB89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3" t="inlineStr">
        <is>
          <t>Dow jumps 500 points as earnings optimism steadies market: Live updates - CNBC</t>
        </is>
      </c>
      <c r="AD893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94">
      <c r="A894" t="inlineStr">
        <is>
          <t>2026-10-22T03:39:19+00:00</t>
        </is>
      </c>
      <c r="B894" t="inlineStr">
        <is>
          <t>2026-10-22</t>
        </is>
      </c>
      <c r="C894" t="inlineStr">
        <is>
          <t>Nasdaq</t>
        </is>
      </c>
      <c r="D894" t="inlineStr">
        <is>
          <t>NQ=F</t>
        </is>
      </c>
      <c r="E894" t="n">
        <v>29764</v>
      </c>
      <c r="F894" t="n">
        <v>29854.5</v>
      </c>
      <c r="G894" t="n">
        <v>29649.5</v>
      </c>
      <c r="H894" t="n">
        <v>29664</v>
      </c>
      <c r="I894" t="n">
        <v>42614</v>
      </c>
      <c r="J894" t="n">
        <v>4</v>
      </c>
      <c r="K894" t="n">
        <v>38</v>
      </c>
      <c r="L894" t="n">
        <v>-0.271</v>
      </c>
      <c r="M894" t="n">
        <v>0.194</v>
      </c>
      <c r="N894" t="n">
        <v>34</v>
      </c>
      <c r="O894" t="n">
        <v>0.115</v>
      </c>
      <c r="P894" t="n">
        <v>0.052</v>
      </c>
      <c r="Q894" t="n">
        <v>-1.18</v>
      </c>
      <c r="R894" t="inlineStr">
        <is>
          <t>finbert</t>
        </is>
      </c>
      <c r="S894" t="inlineStr">
        <is>
          <t>Wall Street ends higher on surge in health care stocks, solid earnings - Investing.com</t>
        </is>
      </c>
      <c r="T89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94" t="inlineStr">
        <is>
          <t>A strong profit report from SpaceX helps lift tech stocks and Wall Street - AP News</t>
        </is>
      </c>
      <c r="V894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94" t="inlineStr">
        <is>
          <t>SpaceX Boosts the A.I. Rally - The New York Times</t>
        </is>
      </c>
      <c r="X894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94" t="inlineStr">
        <is>
          <t>Micron Just Broke Support, So Buy MUU Into Strength (NASDAQ:MU) - Seeking Alpha</t>
        </is>
      </c>
      <c r="Z89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94" t="inlineStr">
        <is>
          <t>Nasdaq 100 breaks 29,361 support, RSI at 23.5: Live levels - Investing.com</t>
        </is>
      </c>
      <c r="AB89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94" t="inlineStr">
        <is>
          <t>[Pre-Market Briefing—October 15] Nasdaq breaks key support - Moomoo</t>
        </is>
      </c>
      <c r="AD894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95">
      <c r="A895" t="inlineStr">
        <is>
          <t>2026-10-22T03:39:19+00:00</t>
        </is>
      </c>
      <c r="B895" t="inlineStr">
        <is>
          <t>2026-10-22</t>
        </is>
      </c>
      <c r="C895" t="inlineStr">
        <is>
          <t>Bitcoin</t>
        </is>
      </c>
      <c r="D895" t="inlineStr">
        <is>
          <t>BTC-USD</t>
        </is>
      </c>
      <c r="E895" t="n">
        <v>84038.7812</v>
      </c>
      <c r="F895" t="n">
        <v>84305.24219999999</v>
      </c>
      <c r="G895" t="n">
        <v>82589.97659999999</v>
      </c>
      <c r="H895" t="n">
        <v>82732.49219999999</v>
      </c>
      <c r="I895" t="n">
        <v>5113837568</v>
      </c>
      <c r="J895" t="n">
        <v>4</v>
      </c>
      <c r="K895" t="n">
        <v>37</v>
      </c>
      <c r="L895" t="n">
        <v>0.044</v>
      </c>
      <c r="M895" t="n">
        <v>0.056</v>
      </c>
      <c r="N895" t="n">
        <v>35</v>
      </c>
      <c r="O895" t="n">
        <v>0.59</v>
      </c>
      <c r="P895" t="n">
        <v>-0.2</v>
      </c>
      <c r="Q895" t="n">
        <v>12.137</v>
      </c>
      <c r="R895" t="inlineStr">
        <is>
          <t>finbert</t>
        </is>
      </c>
      <c r="S895" t="inlineStr">
        <is>
          <t>Bitcoin Surges 40% In Its Best Quarter Since Late 2024 - Bitcoin Magazine</t>
        </is>
      </c>
      <c r="T89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95" t="inlineStr">
        <is>
          <t>Bitcoin jumps to $83,000, stocks rise as China GDP beats estimates - CoinDesk</t>
        </is>
      </c>
      <c r="V89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95" t="inlineStr">
        <is>
          <t>Bitcoin surges 22% for the week as investor optimism floods back - CNBC</t>
        </is>
      </c>
      <c r="X8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95" t="inlineStr">
        <is>
          <t>Bitcoin price crash reveals a surprisingly positive future outcome - Yahoo Finance</t>
        </is>
      </c>
      <c r="Z895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895" t="inlineStr">
        <is>
          <t>Nearly $1 billion in crypto bets liquidated as bitcoin, ether and XRP slide - CoinDesk</t>
        </is>
      </c>
      <c r="AB89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95" t="inlineStr">
        <is>
          <t>Bitcoin Tops $83,000 as $195 Million in Crypto Shorts Are Liquidated - www.tokenpost.com</t>
        </is>
      </c>
      <c r="AD895" t="inlineStr">
        <is>
          <t>https://news.google.com/rss/articles/CBMiWkFVX3lxTE5XN0szbGRObHBYcVZCTVc2SDlkR182MWxOMGl0WkJjS3AtMFVGZk9HQmlPVEpyclgtSzZTNWpQOUw0d0JZaW95OHNlM0xvUDdpMzdtM05jYXhXUQ?oc=5</t>
        </is>
      </c>
    </row>
    <row r="896">
      <c r="A896" t="inlineStr">
        <is>
          <t>2026-10-22T09:14:42+00:00</t>
        </is>
      </c>
      <c r="B896" t="inlineStr">
        <is>
          <t>2026-10-22</t>
        </is>
      </c>
      <c r="C896" t="inlineStr">
        <is>
          <t>Gold</t>
        </is>
      </c>
      <c r="D896" t="inlineStr">
        <is>
          <t>GCZ26.CMX</t>
        </is>
      </c>
      <c r="E896" t="n">
        <v>4105.1001</v>
      </c>
      <c r="F896" t="n">
        <v>4118.7002</v>
      </c>
      <c r="G896" t="n">
        <v>4096.5</v>
      </c>
      <c r="H896" t="n">
        <v>4098.5</v>
      </c>
      <c r="I896" t="n">
        <v>21641</v>
      </c>
      <c r="J896" t="n">
        <v>4</v>
      </c>
      <c r="K896" t="n">
        <v>40</v>
      </c>
      <c r="L896" t="n">
        <v>0.111</v>
      </c>
      <c r="M896" t="n">
        <v>0.007</v>
      </c>
      <c r="N896" t="n">
        <v>40</v>
      </c>
      <c r="O896" t="n">
        <v>0.161</v>
      </c>
      <c r="P896" t="n">
        <v>0.05</v>
      </c>
      <c r="Q896" t="n">
        <v>5.454</v>
      </c>
      <c r="R896" t="inlineStr">
        <is>
          <t>finbert</t>
        </is>
      </c>
      <c r="S896" t="inlineStr">
        <is>
          <t>Gold set for fresh record on strong precious metals sentiment - Yahoo Finance Singapore</t>
        </is>
      </c>
      <c r="T89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6" t="inlineStr">
        <is>
          <t>Royal Mint sees record silver and platinum sales, renewed gold demand despite higher prices and rising bond yields - Kitco</t>
        </is>
      </c>
      <c r="V89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6" t="inlineStr">
        <is>
          <t>China gold market update: Q3 ends with strong official gold buying | Post by Ray Jia | Insights - World Gold Council</t>
        </is>
      </c>
      <c r="X89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6" t="inlineStr">
        <is>
          <t>First-half gold ETF flows remained positive – World Gold Council - Mining Weekly</t>
        </is>
      </c>
      <c r="Z8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96" t="inlineStr">
        <is>
          <t>Gold market sees positive ETF inflows in July, ending two months of outflows - Kitco</t>
        </is>
      </c>
      <c r="AB8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6" t="inlineStr">
        <is>
          <t>Gold (XAUUSD) &amp; Silver Price Forecast: Gold Breaks $4,184, Can Silver Clear $61.72? - FXEmpire</t>
        </is>
      </c>
      <c r="AD89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7">
      <c r="A897" t="inlineStr">
        <is>
          <t>2026-10-22T09:14:42+00:00</t>
        </is>
      </c>
      <c r="B897" t="inlineStr">
        <is>
          <t>2026-10-22</t>
        </is>
      </c>
      <c r="C897" t="inlineStr">
        <is>
          <t>Oil</t>
        </is>
      </c>
      <c r="D897" t="inlineStr">
        <is>
          <t>CL=F</t>
        </is>
      </c>
      <c r="E897" t="n">
        <v>99.23</v>
      </c>
      <c r="F897" t="n">
        <v>100.09</v>
      </c>
      <c r="G897" t="n">
        <v>99.03</v>
      </c>
      <c r="H897" t="n">
        <v>99.76000000000001</v>
      </c>
      <c r="I897" t="n">
        <v>33593</v>
      </c>
      <c r="J897" t="n">
        <v>4</v>
      </c>
      <c r="K897" t="n">
        <v>40</v>
      </c>
      <c r="L897" t="n">
        <v>0.037</v>
      </c>
      <c r="M897" t="n">
        <v>-0.209</v>
      </c>
      <c r="N897" t="n">
        <v>40</v>
      </c>
      <c r="O897" t="n">
        <v>0.055</v>
      </c>
      <c r="P897" t="n">
        <v>-0.105</v>
      </c>
      <c r="Q897" t="n">
        <v>1.845</v>
      </c>
      <c r="R897" t="inlineStr">
        <is>
          <t>finbert</t>
        </is>
      </c>
      <c r="S897" t="inlineStr">
        <is>
          <t>Crude oil inventories fall more than expected, indicating strong demand By Investing.com - Investing.com India</t>
        </is>
      </c>
      <c r="T897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7" t="inlineStr">
        <is>
          <t>Oil surges 6%, Brent and US crude both surpass $100 on more tanker attacks - Reuters</t>
        </is>
      </c>
      <c r="V89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7" t="inlineStr">
        <is>
          <t>Wall Street gains as healthcare stocks rally, oil prices fall - CNA</t>
        </is>
      </c>
      <c r="X89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7" t="inlineStr">
        <is>
          <t>Current price of oil as of Oct. 19, 2026 - Fortune</t>
        </is>
      </c>
      <c r="Z897" t="inlineStr">
        <is>
          <t>https://news.google.com/rss/articles/CBMiYkFVX3lxTE5KYndkRDVoRzRjN3dZdTJjSVQyczNiUHRTdERRS0ljYmdzNndrR05WRVhpY3VINUwwZGhMT2tOQ1N6UktTVV9lbkFKTDhiN3RUVFNmZnNzRXIyM292Q0NsVHFB?oc=5</t>
        </is>
      </c>
      <c r="AA897" t="inlineStr">
        <is>
          <t>Crude Oil WTI breaks 200MA support at $88: Live levels By Investing.com - Investing.com South Africa</t>
        </is>
      </c>
      <c r="AB89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97" t="inlineStr">
        <is>
          <t>OPEC+ keeps oil output policy unchanged for October - Reuters</t>
        </is>
      </c>
      <c r="AD89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98">
      <c r="A898" t="inlineStr">
        <is>
          <t>2026-10-22T09:14:42+00:00</t>
        </is>
      </c>
      <c r="B898" t="inlineStr">
        <is>
          <t>2026-10-22</t>
        </is>
      </c>
      <c r="C898" t="inlineStr">
        <is>
          <t>US Dollar</t>
        </is>
      </c>
      <c r="D898" t="inlineStr">
        <is>
          <t>DX-Y.NYB</t>
        </is>
      </c>
      <c r="E898" t="n">
        <v>101.488</v>
      </c>
      <c r="F898" t="n">
        <v>101.627</v>
      </c>
      <c r="G898" t="n">
        <v>101.446</v>
      </c>
      <c r="H898" t="n">
        <v>101.531</v>
      </c>
      <c r="I898" t="n">
        <v>0</v>
      </c>
      <c r="J898" t="n">
        <v>4</v>
      </c>
      <c r="K898" t="n">
        <v>40</v>
      </c>
      <c r="L898" t="n">
        <v>0.096</v>
      </c>
      <c r="M898" t="n">
        <v>0.125</v>
      </c>
      <c r="N898" t="n">
        <v>37</v>
      </c>
      <c r="O898" t="n">
        <v>0.446</v>
      </c>
      <c r="P898" t="n">
        <v>-0.067</v>
      </c>
      <c r="Q898" t="n">
        <v>11.66</v>
      </c>
      <c r="R898" t="inlineStr">
        <is>
          <t>finbert</t>
        </is>
      </c>
      <c r="S898" t="inlineStr">
        <is>
          <t>U.S. Dollar Gains From a New Wave of Safe Haven Demand - StoneX</t>
        </is>
      </c>
      <c r="T8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8" t="inlineStr">
        <is>
          <t>Canadian Dollar gains momentum on rising oil prices, hawkish BoC rate hike bets - FXStreet</t>
        </is>
      </c>
      <c r="V89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8" t="inlineStr">
        <is>
          <t>New Zealand Dollar strengthens above 0.5650 on strong China's GDP data - FXStreet</t>
        </is>
      </c>
      <c r="X89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98" t="inlineStr">
        <is>
          <t>DXY Falls on Thursday - TradingView</t>
        </is>
      </c>
      <c r="Z89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8" t="inlineStr">
        <is>
          <t>The bond market sell-off is helping the dollar - The Economist</t>
        </is>
      </c>
      <c r="AB89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8" t="inlineStr">
        <is>
          <t>Dollar Index falls following Iran deal report, then stabilises after denial - www.tmgm.com</t>
        </is>
      </c>
      <c r="AD89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9">
      <c r="A899" t="inlineStr">
        <is>
          <t>2026-10-22T09:14:42+00:00</t>
        </is>
      </c>
      <c r="B899" t="inlineStr">
        <is>
          <t>2026-10-22</t>
        </is>
      </c>
      <c r="C899" t="inlineStr">
        <is>
          <t>S&amp;P 500</t>
        </is>
      </c>
      <c r="D899" t="inlineStr">
        <is>
          <t>ES=F</t>
        </is>
      </c>
      <c r="E899" t="n">
        <v>7737.75</v>
      </c>
      <c r="F899" t="n">
        <v>7742.25</v>
      </c>
      <c r="G899" t="n">
        <v>7710.75</v>
      </c>
      <c r="H899" t="n">
        <v>7714.5</v>
      </c>
      <c r="I899" t="n">
        <v>100047</v>
      </c>
      <c r="J899" t="n">
        <v>4</v>
      </c>
      <c r="K899" t="n">
        <v>40</v>
      </c>
      <c r="L899" t="n">
        <v>-0.247</v>
      </c>
      <c r="M899" t="n">
        <v>0.235</v>
      </c>
      <c r="N899" t="n">
        <v>38</v>
      </c>
      <c r="O899" t="n">
        <v>0.347</v>
      </c>
      <c r="P899" t="n">
        <v>-0.075</v>
      </c>
      <c r="Q899" t="n">
        <v>2.643</v>
      </c>
      <c r="R899" t="inlineStr">
        <is>
          <t>finbert</t>
        </is>
      </c>
      <c r="S899" t="inlineStr">
        <is>
          <t>IBRX Breaks Above This Key Resistance — Stock On Track To Record Best Single-Day Gains In 6 Months - Yahoo Finance</t>
        </is>
      </c>
      <c r="T89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99" t="inlineStr">
        <is>
          <t>Stock Market Today, Oct. 21: Space Exploration Technologies Surges on Q3 Earnings Beat - Yahoo Finance</t>
        </is>
      </c>
      <c r="V89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99" t="inlineStr">
        <is>
          <t>Tech stocks lead market higher as SpaceX shares surge: AlphaCheck - Yahoo Finance</t>
        </is>
      </c>
      <c r="X89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899" t="inlineStr">
        <is>
          <t>Stellantis stock breaks through its €3.83 support level and records a five-year low - Ideal Investisseur</t>
        </is>
      </c>
      <c r="Z89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9" t="inlineStr">
        <is>
          <t>Dow Drops 175, Nasdaq Loses 573, S&amp;P 500 Falls 85 - TV News Check</t>
        </is>
      </c>
      <c r="AB89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9" t="inlineStr">
        <is>
          <t>Dow jumps 500 points as earnings optimism steadies market: Live updates - CNBC</t>
        </is>
      </c>
      <c r="AD89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00">
      <c r="A900" t="inlineStr">
        <is>
          <t>2026-10-22T09:14:42+00:00</t>
        </is>
      </c>
      <c r="B900" t="inlineStr">
        <is>
          <t>2026-10-22</t>
        </is>
      </c>
      <c r="C900" t="inlineStr">
        <is>
          <t>Nasdaq</t>
        </is>
      </c>
      <c r="D900" t="inlineStr">
        <is>
          <t>NQ=F</t>
        </is>
      </c>
      <c r="E900" t="n">
        <v>29544.5</v>
      </c>
      <c r="F900" t="n">
        <v>29568.5</v>
      </c>
      <c r="G900" t="n">
        <v>29417</v>
      </c>
      <c r="H900" t="n">
        <v>29440</v>
      </c>
      <c r="I900" t="n">
        <v>40421</v>
      </c>
      <c r="J900" t="n">
        <v>4</v>
      </c>
      <c r="K900" t="n">
        <v>37</v>
      </c>
      <c r="L900" t="n">
        <v>-0.303</v>
      </c>
      <c r="M900" t="n">
        <v>0.207</v>
      </c>
      <c r="N900" t="n">
        <v>33</v>
      </c>
      <c r="O900" t="n">
        <v>-0.012</v>
      </c>
      <c r="P900" t="n">
        <v>0.08699999999999999</v>
      </c>
      <c r="Q900" t="n">
        <v>-3.804</v>
      </c>
      <c r="R900" t="inlineStr">
        <is>
          <t>finbert</t>
        </is>
      </c>
      <c r="S900" t="inlineStr">
        <is>
          <t>A strong profit report from SpaceX helps lift tech stocks and Wall Street - AOL.com</t>
        </is>
      </c>
      <c r="T900" t="inlineStr">
        <is>
          <t>https://news.google.com/rss/articles/CBMiekFVX3lxTE9kWHJYXzJmTWpNY1FjQzlIelVSMDRWaXRRZ1M0RFhEaFlOY3VmZmZhLTNnN19xMm5YeUc0aFJpWmpDeExpdF9xLUdORFF1OVBtYlBpY05RM3ZMU1ZzbXBUTElhb0lJcUpCSzRUUTcxS3J5VFphWkg0WWN3?oc=5</t>
        </is>
      </c>
      <c r="U900" t="inlineStr">
        <is>
          <t>Wall Street ends higher on surge in health care stocks, solid earnings - Investing.com</t>
        </is>
      </c>
      <c r="V90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900" t="inlineStr">
        <is>
          <t>A strong profit report from SpaceX helps lift tech stocks and Wall Street - WTOP News</t>
        </is>
      </c>
      <c r="X90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00" t="inlineStr">
        <is>
          <t>Dow outperforms as Wall Street rises, healthcare stocks lead gains - Reuters</t>
        </is>
      </c>
      <c r="Z90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900" t="inlineStr">
        <is>
          <t>Micron Just Broke Support, So Buy MUU Into Strength (NASDAQ:MU) - Seeking Alpha</t>
        </is>
      </c>
      <c r="AB90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00" t="inlineStr">
        <is>
          <t>Watch Elbilassy: Tech Selloff Healthy After Nasdaq Record High - Bloomberg.com</t>
        </is>
      </c>
      <c r="AD900" t="inlineStr">
        <is>
          <t>https://news.google.com/rss/articles/CBMirwFBVV95cUxQSEUwdmMwZ3NzWGdIZXNaeER0WGFJWjA1MmhjX1dwMTFtdnVuYW5jVzdDU0dPV1dYeGpIWE43aDFOcTdXZzFhRFU2THh2c0tLTDRFTWNXbmRvVzN3T3AyX2xBcHN4NFFWcTkyYUY4eEE0QmxNYTkzSVR1WjJFa2syMTg2OUxQRVNlVjhvRVZjWG53SGJUbXhocGJua0o5dmY2dXhHaVNDLUxhWUNsS3Fz?oc=5</t>
        </is>
      </c>
    </row>
    <row r="901">
      <c r="A901" t="inlineStr">
        <is>
          <t>2026-10-22T09:14:42+00:00</t>
        </is>
      </c>
      <c r="B901" t="inlineStr">
        <is>
          <t>2026-10-22</t>
        </is>
      </c>
      <c r="C901" t="inlineStr">
        <is>
          <t>Bitcoin</t>
        </is>
      </c>
      <c r="D901" t="inlineStr">
        <is>
          <t>BTC-USD</t>
        </is>
      </c>
      <c r="E901" t="n">
        <v>82719.6094</v>
      </c>
      <c r="F901" t="n">
        <v>82792.8906</v>
      </c>
      <c r="G901" t="n">
        <v>81550.99219999999</v>
      </c>
      <c r="H901" t="n">
        <v>81808.3281</v>
      </c>
      <c r="I901" t="n">
        <v>4262957056</v>
      </c>
      <c r="J901" t="n">
        <v>4</v>
      </c>
      <c r="K901" t="n">
        <v>38</v>
      </c>
      <c r="L901" t="n">
        <v>0.001</v>
      </c>
      <c r="M901" t="n">
        <v>0.015</v>
      </c>
      <c r="N901" t="n">
        <v>35</v>
      </c>
      <c r="O901" t="n">
        <v>0.548</v>
      </c>
      <c r="P901" t="n">
        <v>-0.174</v>
      </c>
      <c r="Q901" t="n">
        <v>11.111</v>
      </c>
      <c r="R901" t="inlineStr">
        <is>
          <t>finbert</t>
        </is>
      </c>
      <c r="S901" t="inlineStr">
        <is>
          <t>Bitcoin Surges 40% In Its Best Quarter Since Late 2024 - Bitcoin Magazine</t>
        </is>
      </c>
      <c r="T90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1" t="inlineStr">
        <is>
          <t>Bitcoin surges 22% for the week as investor optimism floods back - CNBC</t>
        </is>
      </c>
      <c r="V9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1" t="inlineStr">
        <is>
          <t>Bitcoin and ethereum prices today, Wednesday, October 21, 2026: Crypto to outperform stocks and gold? - Yahoo Finance</t>
        </is>
      </c>
      <c r="X901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901" t="inlineStr">
        <is>
          <t>CZ Says Peter Schiff Will Be Right About Bitcoin One Day. There’s a Catch - BeInCrypto</t>
        </is>
      </c>
      <c r="Z901" t="inlineStr">
        <is>
          <t>https://news.google.com/rss/articles/CBMiakFVX3lxTE9lX1lTWHhKVGUzZi1ZM2tWaGZVcnB6XzBUMlRNOFo5ejBRZ1NfNmxCSTROSEdQa1VJRVlmMGVPSWZMc0kzTEwzelJPZG1kWUFkSXV2NHRqOVYzOGszZEdVSFlUaF9SQVp4alE?oc=5</t>
        </is>
      </c>
      <c r="AA901" t="inlineStr">
        <is>
          <t>Nearly $1 billion in crypto bets liquidated as bitcoin, ether and XRP slide - CoinDesk</t>
        </is>
      </c>
      <c r="AB90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1" t="inlineStr">
        <is>
          <t>$351,500,000 wiped out in crypto liquidations over the la - KuCoin</t>
        </is>
      </c>
      <c r="AD901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2">
      <c r="A902" t="inlineStr">
        <is>
          <t>2026-10-22T16:47:09+00:00</t>
        </is>
      </c>
      <c r="B902" t="inlineStr">
        <is>
          <t>2026-10-22</t>
        </is>
      </c>
      <c r="C902" t="inlineStr">
        <is>
          <t>Gold</t>
        </is>
      </c>
      <c r="D902" t="inlineStr">
        <is>
          <t>GCZ26.CMX</t>
        </is>
      </c>
      <c r="E902" t="n">
        <v>4103.7998</v>
      </c>
      <c r="F902" t="n">
        <v>4104</v>
      </c>
      <c r="G902" t="n">
        <v>4058.2</v>
      </c>
      <c r="H902" t="n">
        <v>4059.5</v>
      </c>
      <c r="I902" t="n">
        <v>58841</v>
      </c>
      <c r="J902" t="n">
        <v>4</v>
      </c>
      <c r="K902" t="n">
        <v>40</v>
      </c>
      <c r="L902" t="n">
        <v>0.17</v>
      </c>
      <c r="M902" t="n">
        <v>-0.01</v>
      </c>
      <c r="N902" t="n">
        <v>40</v>
      </c>
      <c r="O902" t="n">
        <v>0.173</v>
      </c>
      <c r="P902" t="n">
        <v>0.014</v>
      </c>
      <c r="Q902" t="n">
        <v>6.866</v>
      </c>
      <c r="R902" t="inlineStr">
        <is>
          <t>finbert</t>
        </is>
      </c>
      <c r="S902" t="inlineStr">
        <is>
          <t>Gold set for fresh record on strong precious metals sentiment - Yahoo Finance Singapore</t>
        </is>
      </c>
      <c r="T90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02" t="inlineStr">
        <is>
          <t>Royal Mint sees record silver and platinum sales, renewed gold demand despite higher prices and rising bond yields - Kitco</t>
        </is>
      </c>
      <c r="V90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02" t="inlineStr">
        <is>
          <t>China gold market update: Q3 ends with strong official gold buying | Post by Ray Jia | Insights - World Gold Council</t>
        </is>
      </c>
      <c r="X90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02" t="inlineStr">
        <is>
          <t>UK crowned in a record quarter - World Gold Council</t>
        </is>
      </c>
      <c r="Z90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02" t="inlineStr">
        <is>
          <t>Gold market sees positive ETF inflows in July, ending two months of outflows - Kitco</t>
        </is>
      </c>
      <c r="AB9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2" t="inlineStr">
        <is>
          <t>Gold (XAUUSD) &amp; Silver Price Forecast: Gold Breaks $4,184, Can Silver Clear $61.72? - FXEmpire</t>
        </is>
      </c>
      <c r="AD90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3">
      <c r="A903" t="inlineStr">
        <is>
          <t>2026-10-22T16:47:09+00:00</t>
        </is>
      </c>
      <c r="B903" t="inlineStr">
        <is>
          <t>2026-10-22</t>
        </is>
      </c>
      <c r="C903" t="inlineStr">
        <is>
          <t>Oil</t>
        </is>
      </c>
      <c r="D903" t="inlineStr">
        <is>
          <t>CL=F</t>
        </is>
      </c>
      <c r="E903" t="n">
        <v>99.7</v>
      </c>
      <c r="F903" t="n">
        <v>100.02</v>
      </c>
      <c r="G903" t="n">
        <v>97.90000000000001</v>
      </c>
      <c r="H903" t="n">
        <v>98.84999999999999</v>
      </c>
      <c r="I903" t="n">
        <v>93666</v>
      </c>
      <c r="J903" t="n">
        <v>4</v>
      </c>
      <c r="K903" t="n">
        <v>40</v>
      </c>
      <c r="L903" t="n">
        <v>0.002</v>
      </c>
      <c r="M903" t="n">
        <v>-0.241</v>
      </c>
      <c r="N903" t="n">
        <v>40</v>
      </c>
      <c r="O903" t="n">
        <v>-0.031</v>
      </c>
      <c r="P903" t="n">
        <v>-0.07000000000000001</v>
      </c>
      <c r="Q903" t="n">
        <v>-0.577</v>
      </c>
      <c r="R903" t="inlineStr">
        <is>
          <t>finbert</t>
        </is>
      </c>
      <c r="S903" t="inlineStr">
        <is>
          <t>Valero sees resilient global fuel demand despite rising costs - Quantum Commodity Intelligence</t>
        </is>
      </c>
      <c r="T903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3" t="inlineStr">
        <is>
          <t>Iran War Raises Demand for US Fuel, Boosting Gulf Coast Refining Margins - EnergyNow.com</t>
        </is>
      </c>
      <c r="V9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903" t="inlineStr">
        <is>
          <t>Oil surges 6%, Brent and US crude both surpass $100 on more tanker attacks - Reuters</t>
        </is>
      </c>
      <c r="X9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03" t="inlineStr">
        <is>
          <t>Crude Oil WTI breaks 200MA support at $88: Live levels By Investing.com - Investing.com South Africa</t>
        </is>
      </c>
      <c r="Z9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3" t="inlineStr">
        <is>
          <t>Natural Gas and Oil Forecast: WTI Tests $91.40, Can Brent Break $106 and NG Reach $3.35? - FXEmpire</t>
        </is>
      </c>
      <c r="AB90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3" t="inlineStr">
        <is>
          <t>OPEC+ approves further oil output increase as Hormuz exports start to recover - CNBC</t>
        </is>
      </c>
      <c r="AD90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04">
      <c r="A904" t="inlineStr">
        <is>
          <t>2026-10-22T16:47:09+00:00</t>
        </is>
      </c>
      <c r="B904" t="inlineStr">
        <is>
          <t>2026-10-22</t>
        </is>
      </c>
      <c r="C904" t="inlineStr">
        <is>
          <t>US Dollar</t>
        </is>
      </c>
      <c r="D904" t="inlineStr">
        <is>
          <t>DX-Y.NYB</t>
        </is>
      </c>
      <c r="E904" t="n">
        <v>101.768</v>
      </c>
      <c r="F904" t="n">
        <v>101.883</v>
      </c>
      <c r="G904" t="n">
        <v>101.629</v>
      </c>
      <c r="H904" t="n">
        <v>101.636</v>
      </c>
      <c r="I904" t="n">
        <v>0</v>
      </c>
      <c r="J904" t="n">
        <v>4</v>
      </c>
      <c r="K904" t="n">
        <v>39</v>
      </c>
      <c r="L904" t="n">
        <v>-0.023</v>
      </c>
      <c r="M904" t="n">
        <v>0.125</v>
      </c>
      <c r="N904" t="n">
        <v>38</v>
      </c>
      <c r="O904" t="n">
        <v>0.328</v>
      </c>
      <c r="P904" t="n">
        <v>-0.093</v>
      </c>
      <c r="Q904" t="n">
        <v>6.283</v>
      </c>
      <c r="R904" t="inlineStr">
        <is>
          <t>finbert</t>
        </is>
      </c>
      <c r="S904" t="inlineStr">
        <is>
          <t>Gold futures extend gains as safe-haven demand picks up. - CME Group</t>
        </is>
      </c>
      <c r="T9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904" t="inlineStr">
        <is>
          <t>Canadian Dollar gains momentum on rising oil prices, hawkish BoC rate hike bets - FXStreet</t>
        </is>
      </c>
      <c r="V90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04" t="inlineStr">
        <is>
          <t>Japanese Yen surges as risk-off mood drives safe-haven demand - FXStreet</t>
        </is>
      </c>
      <c r="X904" t="inlineStr">
        <is>
          <t>https://news.google.com/rss/articles/CBMipwFBVV95cUxNOTRxM2d4bjFoR3BTY2VhSU1rX3IyUjI5WmxOWjg4SU9XNEVwU0xIVkpoaGlRU2YzSS1oZ08xLVFxZWxXZERKQl9MSmVMRWdjSkdIbkhNbkUyc0dFemVOWDFWYzlETDhCYVJnWFhZdFRIV3hVcTM2ZFR2RjNqa2pXdHFDbVlYcHRab29GV3kta1Rna1BKaFFHWkJhQnQ3UG4xemFCRGVDWQ?oc=5</t>
        </is>
      </c>
      <c r="Y904" t="inlineStr">
        <is>
          <t>DXY Falls on Thursday - TradingView</t>
        </is>
      </c>
      <c r="Z90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04" t="inlineStr">
        <is>
          <t>The bond market sell-off is helping the dollar - The Economist</t>
        </is>
      </c>
      <c r="AB90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04" t="inlineStr">
        <is>
          <t>Dollar Index falls following Iran deal report, then stabilises after denial - www.tmgm.com</t>
        </is>
      </c>
      <c r="AD90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05">
      <c r="A905" t="inlineStr">
        <is>
          <t>2026-10-22T16:47:09+00:00</t>
        </is>
      </c>
      <c r="B905" t="inlineStr">
        <is>
          <t>2026-10-22</t>
        </is>
      </c>
      <c r="C905" t="inlineStr">
        <is>
          <t>S&amp;P 500</t>
        </is>
      </c>
      <c r="D905" t="inlineStr">
        <is>
          <t>ES=F</t>
        </is>
      </c>
      <c r="E905" t="n">
        <v>7725</v>
      </c>
      <c r="F905" t="n">
        <v>7742.5</v>
      </c>
      <c r="G905" t="n">
        <v>7686</v>
      </c>
      <c r="H905" t="n">
        <v>7704.75</v>
      </c>
      <c r="I905" t="n">
        <v>965286</v>
      </c>
      <c r="J905" t="n">
        <v>4</v>
      </c>
      <c r="K905" t="n">
        <v>40</v>
      </c>
      <c r="L905" t="n">
        <v>-0.224</v>
      </c>
      <c r="M905" t="n">
        <v>0.17</v>
      </c>
      <c r="N905" t="n">
        <v>40</v>
      </c>
      <c r="O905" t="n">
        <v>0.205</v>
      </c>
      <c r="P905" t="n">
        <v>-0.063</v>
      </c>
      <c r="Q905" t="n">
        <v>-0.368</v>
      </c>
      <c r="R905" t="inlineStr">
        <is>
          <t>finbert</t>
        </is>
      </c>
      <c r="S905" t="inlineStr">
        <is>
          <t>IBRX Breaks Above This Key Resistance — Stock On Track To Record Best Single-Day Gains In 6 Months - Yahoo Finance</t>
        </is>
      </c>
      <c r="T90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05" t="inlineStr">
        <is>
          <t>Stock Market Today, Oct. 21: Space Exploration Technologies Surges on Q3 Earnings Beat - Yahoo Finance</t>
        </is>
      </c>
      <c r="V905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05" t="inlineStr">
        <is>
          <t>Stock of the Day: Is SpaceX About to Break Out? - TradingView</t>
        </is>
      </c>
      <c r="X905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05" t="inlineStr">
        <is>
          <t>Dow Drops 175, Nasdaq Loses 573, S&amp;P 500 Falls 85 - TV News Check</t>
        </is>
      </c>
      <c r="Z90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905" t="inlineStr">
        <is>
          <t>Dow jumps 500 points as earnings optimism steadies market: Live updates - CNBC</t>
        </is>
      </c>
      <c r="AB905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05" t="inlineStr">
        <is>
          <t>S&amp;P 500 Reaches New Record High - WSJ</t>
        </is>
      </c>
      <c r="AD905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06">
      <c r="A906" t="inlineStr">
        <is>
          <t>2026-10-22T16:47:09+00:00</t>
        </is>
      </c>
      <c r="B906" t="inlineStr">
        <is>
          <t>2026-10-22</t>
        </is>
      </c>
      <c r="C906" t="inlineStr">
        <is>
          <t>Nasdaq</t>
        </is>
      </c>
      <c r="D906" t="inlineStr">
        <is>
          <t>NQ=F</t>
        </is>
      </c>
      <c r="E906" t="n">
        <v>29496.5</v>
      </c>
      <c r="F906" t="n">
        <v>29594.75</v>
      </c>
      <c r="G906" t="n">
        <v>29227.75</v>
      </c>
      <c r="H906" t="n">
        <v>29272.5</v>
      </c>
      <c r="I906" t="n">
        <v>364744</v>
      </c>
      <c r="J906" t="n">
        <v>4</v>
      </c>
      <c r="K906" t="n">
        <v>37</v>
      </c>
      <c r="L906" t="n">
        <v>-0.148</v>
      </c>
      <c r="M906" t="n">
        <v>0.08699999999999999</v>
      </c>
      <c r="N906" t="n">
        <v>35</v>
      </c>
      <c r="O906" t="n">
        <v>0.06900000000000001</v>
      </c>
      <c r="P906" t="n">
        <v>-0.006</v>
      </c>
      <c r="Q906" t="n">
        <v>-0.541</v>
      </c>
      <c r="R906" t="inlineStr">
        <is>
          <t>finbert</t>
        </is>
      </c>
      <c r="S906" t="inlineStr">
        <is>
          <t>Click Holdings Limited (NASDAQ: CLIK) Reports Record Full-Year Results: Revenue, Gross Profit and Net Income Hit New Highs; Every Segment Delivers Record Revenue - markets.businessinsider.com</t>
        </is>
      </c>
      <c r="T906" t="inlineStr">
        <is>
          <t>https://news.google.com/rss/articles/CBMiugJBVV95cUxPUnpRUUFPYkUtQUV2WFl0THhqaEQtNjBjVUZBMzFoeC1FWGo1by1PalJJdlJXTndEM2h1TXRoUnB6bTJ3YlJTc2FuaVJJakJVRzRPWkhqRTk3bTloNElQSTlYYUF5eFlocUlYMVVxZlZsNk5BQTFka1dsQTRCV096aDBrZlh4ZmwySFJBQ3E4Ui1rUmR4ekd2TzFkWXdDOTVjUE5VRzR2ZHB3QzhxRjRlZ3gxWDdPeTJUNWRRTUpFUlJSclI4Y0wwWndrdmFGQUtobnp2d29fQ2YweDhKR3pLc21GaVlxejR4QVV0d1VMRFRDVHhtUTg3UkR4UEZyeVBuY28zSmJNMXdTVDczNVBJQ0U2Zm1lbEdtamlkSmpKS2lrNlZSSjJGUHgtSGdGVHBad0RheFI0RnpYUQ?oc=5</t>
        </is>
      </c>
      <c r="U906" t="inlineStr">
        <is>
          <t>A strong profit report from SpaceX helps lift tech stocks and Wall Street - WTOP News</t>
        </is>
      </c>
      <c r="V90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06" t="inlineStr">
        <is>
          <t>Dow outperforms as Wall Street rises, healthcare stocks lead gains - Reuters</t>
        </is>
      </c>
      <c r="X90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06" t="inlineStr">
        <is>
          <t>Micron Just Broke Support, So Buy MUU Into Strength (NASDAQ:MU) - Seeking Alpha</t>
        </is>
      </c>
      <c r="Z90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06" t="inlineStr">
        <is>
          <t>Market sell-off gains steam as concerns about Iran war and high AI spending collide - NBC News</t>
        </is>
      </c>
      <c r="AB906" t="inlineStr">
        <is>
          <t>https://news.google.com/rss/articles/CBMilgFBVV95cUxPSVY4cFhVNmoxak9SOVdrbDh3NkozUkd0Wmc3YmtsWW9PWUFQWFgtb25pX2xhV2liWmxyRktLSjgwRkxLRERjaTk0Y1RyLWdFeVVHNFphUDY4aDZyVWhHdWltNnBtM0JWTTFVRXNjY2prMWZnRlJpeUFMeGxnb1VlOGlFWE5FRGNtNlpEUUtKVVFzT2J5dWc?oc=5</t>
        </is>
      </c>
      <c r="AC906" t="inlineStr">
        <is>
          <t>Nasdaq 100 breaks 29,361 support, RSI at 23.5: Live levels - Investing.com</t>
        </is>
      </c>
      <c r="AD90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07">
      <c r="A907" t="inlineStr">
        <is>
          <t>2026-10-22T16:47:09+00:00</t>
        </is>
      </c>
      <c r="B907" t="inlineStr">
        <is>
          <t>2026-10-22</t>
        </is>
      </c>
      <c r="C907" t="inlineStr">
        <is>
          <t>Bitcoin</t>
        </is>
      </c>
      <c r="D907" t="inlineStr">
        <is>
          <t>BTC-USD</t>
        </is>
      </c>
      <c r="E907" t="n">
        <v>81591.13280000001</v>
      </c>
      <c r="F907" t="n">
        <v>81976</v>
      </c>
      <c r="G907" t="n">
        <v>81017.6562</v>
      </c>
      <c r="H907" t="n">
        <v>81100.6719</v>
      </c>
      <c r="I907" t="n">
        <v>3811913728</v>
      </c>
      <c r="J907" t="n">
        <v>4</v>
      </c>
      <c r="K907" t="n">
        <v>39</v>
      </c>
      <c r="L907" t="n">
        <v>0.08400000000000001</v>
      </c>
      <c r="M907" t="n">
        <v>0.011</v>
      </c>
      <c r="N907" t="n">
        <v>34</v>
      </c>
      <c r="O907" t="n">
        <v>0.497</v>
      </c>
      <c r="P907" t="n">
        <v>-0.128</v>
      </c>
      <c r="Q907" t="n">
        <v>12.585</v>
      </c>
      <c r="R907" t="inlineStr">
        <is>
          <t>finbert</t>
        </is>
      </c>
      <c r="S907" t="inlineStr">
        <is>
          <t>Bitcoin Surges 40% In Its Best Quarter Since Late 2024 - Bitcoin Magazine</t>
        </is>
      </c>
      <c r="T90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7" t="inlineStr">
        <is>
          <t>Bitcoin surges 22% for the week as investor optimism floods back - CNBC</t>
        </is>
      </c>
      <c r="V9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7" t="inlineStr">
        <is>
          <t>Bitcoin jumps to $83,000, stocks rise as China GDP beats estimates - CoinDesk</t>
        </is>
      </c>
      <c r="X90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07" t="inlineStr">
        <is>
          <t>Today's Crypto News: Bitcoin, Ether and Altcoin Insights - Investing News Network</t>
        </is>
      </c>
      <c r="Z90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07" t="inlineStr">
        <is>
          <t>Nearly $1 billion in crypto bets liquidated as bitcoin, ether and XRP slide - CoinDesk</t>
        </is>
      </c>
      <c r="AB90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7" t="inlineStr">
        <is>
          <t>$351,500,000 wiped out in crypto liquidations over the la - KuCoin</t>
        </is>
      </c>
      <c r="AD907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8">
      <c r="A908" t="inlineStr">
        <is>
          <t>2026-10-22T23:01:27+00:00</t>
        </is>
      </c>
      <c r="B908" t="inlineStr">
        <is>
          <t>2026-10-22</t>
        </is>
      </c>
      <c r="C908" t="inlineStr">
        <is>
          <t>Gold</t>
        </is>
      </c>
      <c r="D908" t="inlineStr">
        <is>
          <t>GCZ26.CMX</t>
        </is>
      </c>
      <c r="E908" t="n">
        <v>4061.8</v>
      </c>
      <c r="F908" t="n">
        <v>4061.8</v>
      </c>
      <c r="G908" t="n">
        <v>4036.8</v>
      </c>
      <c r="H908" t="n">
        <v>4044.2</v>
      </c>
      <c r="I908" t="n">
        <v>20395</v>
      </c>
      <c r="J908" t="n">
        <v>4</v>
      </c>
      <c r="K908" t="n">
        <v>40</v>
      </c>
      <c r="L908" t="n">
        <v>0.08699999999999999</v>
      </c>
      <c r="M908" t="n">
        <v>0.032</v>
      </c>
      <c r="N908" t="n">
        <v>40</v>
      </c>
      <c r="O908" t="n">
        <v>0.077</v>
      </c>
      <c r="P908" t="n">
        <v>0.015</v>
      </c>
      <c r="Q908" t="n">
        <v>3.295</v>
      </c>
      <c r="R908" t="inlineStr">
        <is>
          <t>finbert</t>
        </is>
      </c>
      <c r="S908" t="inlineStr">
        <is>
          <t>Royal Mint sees record silver and platinum sales, renewed gold demand despite higher prices and rising bond yields - Kitco</t>
        </is>
      </c>
      <c r="T90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08" t="inlineStr">
        <is>
          <t>China gold market update: Q3 ends with strong official gold buying | Post by Ray Jia | Insights - World Gold Council</t>
        </is>
      </c>
      <c r="V90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908" t="inlineStr">
        <is>
          <t>Gold hits record above $5,100 as geopolitics drive safe‑haven rush - Reuters</t>
        </is>
      </c>
      <c r="X9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908" t="inlineStr">
        <is>
          <t>First-half gold ETF flows remained positive – World Gold Council - Mining Weekly</t>
        </is>
      </c>
      <c r="Z9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08" t="inlineStr">
        <is>
          <t>Gold market sees positive ETF inflows in July, ending two months of outflows - Kitco</t>
        </is>
      </c>
      <c r="AB9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8" t="inlineStr">
        <is>
          <t>Gold (XAUUSD) &amp; Silver Price Forecast: Gold Breaks $4,184, Can Silver Clear $61.72? - FXEmpire</t>
        </is>
      </c>
      <c r="AD90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9">
      <c r="A909" t="inlineStr">
        <is>
          <t>2026-10-22T23:01:27+00:00</t>
        </is>
      </c>
      <c r="B909" t="inlineStr">
        <is>
          <t>2026-10-22</t>
        </is>
      </c>
      <c r="C909" t="inlineStr">
        <is>
          <t>Oil</t>
        </is>
      </c>
      <c r="D909" t="inlineStr">
        <is>
          <t>CL=F</t>
        </is>
      </c>
      <c r="E909" t="n">
        <v>99.84</v>
      </c>
      <c r="F909" t="n">
        <v>99.84</v>
      </c>
      <c r="G909" t="n">
        <v>98.84</v>
      </c>
      <c r="H909" t="n">
        <v>98.98999999999999</v>
      </c>
      <c r="I909" t="n">
        <v>54727</v>
      </c>
      <c r="J909" t="n">
        <v>4</v>
      </c>
      <c r="K909" t="n">
        <v>40</v>
      </c>
      <c r="L909" t="n">
        <v>0.028</v>
      </c>
      <c r="M909" t="n">
        <v>-0.203</v>
      </c>
      <c r="N909" t="n">
        <v>40</v>
      </c>
      <c r="O909" t="n">
        <v>0.059</v>
      </c>
      <c r="P909" t="n">
        <v>-0.08400000000000001</v>
      </c>
      <c r="Q909" t="n">
        <v>1.742</v>
      </c>
      <c r="R909" t="inlineStr">
        <is>
          <t>finbert</t>
        </is>
      </c>
      <c r="S909" t="inlineStr">
        <is>
          <t>Valero sees resilient global fuel demand despite rising costs - Quantum Commodity Intelligence</t>
        </is>
      </c>
      <c r="T909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9" t="inlineStr">
        <is>
          <t>Oil surges 6%, Brent and US crude both surpass $100 on more tanker attacks - Reuters</t>
        </is>
      </c>
      <c r="V9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09" t="inlineStr">
        <is>
          <t>Wall Street gains as healthcare stocks rally, oil prices fall - CNA</t>
        </is>
      </c>
      <c r="X90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909" t="inlineStr">
        <is>
          <t>Crude Oil WTI breaks 200MA support at $88: Live levels By Investing.com - Investing.com South Africa</t>
        </is>
      </c>
      <c r="Z90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9" t="inlineStr">
        <is>
          <t>Natural Gas and Oil Forecast: WTI Tests $91.40, Can Brent Break $106 and NG Reach $3.35? - FXEmpire</t>
        </is>
      </c>
      <c r="AB90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9" t="inlineStr">
        <is>
          <t>OPEC Plus, in Symbolic Gesture, to Increase Oil Production - The New York Times</t>
        </is>
      </c>
      <c r="AD909" t="inlineStr">
        <is>
          <t>https://news.google.com/rss/articles/CBMimgFBVV95cUxNSThOaXh4elFwcnZmSWFrbzk3dzFVQWlWRmVHNkpzOGJyZ0VXWUJMMkR1bmJ4TTZ3eUdBMHA5bzNRZHAzN1MxREo0WG9FWEdHLXBzMVRmMENZUWVUM0pxdWduVGMtWHFxenk5TnJWNGM5THA1aTJuTWtIYVZ0ZnJFVll4eUFkVHAtRnZVSzQzWnZGS051NUJObVBB?oc=5</t>
        </is>
      </c>
    </row>
    <row r="910">
      <c r="A910" t="inlineStr">
        <is>
          <t>2026-10-22T23:01:27+00:00</t>
        </is>
      </c>
      <c r="B910" t="inlineStr">
        <is>
          <t>2026-10-22</t>
        </is>
      </c>
      <c r="C910" t="inlineStr">
        <is>
          <t>US Dollar</t>
        </is>
      </c>
      <c r="D910" t="inlineStr">
        <is>
          <t>DX-Y.NYB</t>
        </is>
      </c>
      <c r="E910" t="n">
        <v>101.607</v>
      </c>
      <c r="F910" t="n">
        <v>101.671</v>
      </c>
      <c r="G910" t="n">
        <v>101.601</v>
      </c>
      <c r="H910" t="n">
        <v>101.617</v>
      </c>
      <c r="I910" t="n">
        <v>0</v>
      </c>
      <c r="J910" t="n">
        <v>4</v>
      </c>
      <c r="K910" t="n">
        <v>39</v>
      </c>
      <c r="L910" t="n">
        <v>-0.08500000000000001</v>
      </c>
      <c r="M910" t="n">
        <v>0.12</v>
      </c>
      <c r="N910" t="n">
        <v>37</v>
      </c>
      <c r="O910" t="n">
        <v>0.417</v>
      </c>
      <c r="P910" t="n">
        <v>-0.025</v>
      </c>
      <c r="Q910" t="n">
        <v>7.045</v>
      </c>
      <c r="R910" t="inlineStr">
        <is>
          <t>finbert</t>
        </is>
      </c>
      <c r="S910" t="inlineStr">
        <is>
          <t>Canadian Dollar gains momentum on rising oil prices, hawkish BoC rate hike bets - FXStreet</t>
        </is>
      </c>
      <c r="T91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0" t="inlineStr">
        <is>
          <t>Supported by elevated oil prices and safe-haven demand, the U.S. Dollar Index rebounded to around 101.80, consolidating as it builds momentum. - 富途牛牛</t>
        </is>
      </c>
      <c r="V910" t="inlineStr">
        <is>
          <t>https://news.google.com/rss/articles/CBMiowFBVV95cUxNQU9QSDEyeWZnSE50MTRyQlBmNUUyT19uQVpWYUFZS1NUOGtfZVQ1cjlnTXVrcUVSbzd1RXVuQTlRZk9fU1g5SWN5R3otSWxxRjJWb2lyekVoaDdHOTR1TVc1SmNFZWhtSlBiam5hZjRLdmgyYWhlTG11ZTJGZzJ2MXZQTDg5bnptTklGY3hXbEl5WXFqMVduNWctaWJuX3NveGdj?oc=5</t>
        </is>
      </c>
      <c r="W910" t="inlineStr">
        <is>
          <t>Canadian dollar strengthens as oil prices, BoC rate hike bets support loonie - Investing.com</t>
        </is>
      </c>
      <c r="X91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10" t="inlineStr">
        <is>
          <t>USD exchange rate today, October 21, 2026: DXY falls to 101.71 points. - Vietnam.vn</t>
        </is>
      </c>
      <c r="Z91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0" t="inlineStr">
        <is>
          <t>DXY Falls on Thursday - TradingView</t>
        </is>
      </c>
      <c r="AB91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0" t="inlineStr">
        <is>
          <t>The bond market sell-off is helping the dollar - The Economist</t>
        </is>
      </c>
      <c r="AD91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1">
      <c r="A911" t="inlineStr">
        <is>
          <t>2026-10-22T23:01:27+00:00</t>
        </is>
      </c>
      <c r="B911" t="inlineStr">
        <is>
          <t>2026-10-22</t>
        </is>
      </c>
      <c r="C911" t="inlineStr">
        <is>
          <t>S&amp;P 500</t>
        </is>
      </c>
      <c r="D911" t="inlineStr">
        <is>
          <t>ES=F</t>
        </is>
      </c>
      <c r="E911" t="n">
        <v>7692.25</v>
      </c>
      <c r="F911" t="n">
        <v>7716.25</v>
      </c>
      <c r="G911" t="n">
        <v>7676.75</v>
      </c>
      <c r="H911" t="n">
        <v>7709</v>
      </c>
      <c r="I911" t="n">
        <v>619923</v>
      </c>
      <c r="J911" t="n">
        <v>4</v>
      </c>
      <c r="K911" t="n">
        <v>40</v>
      </c>
      <c r="L911" t="n">
        <v>-0.19</v>
      </c>
      <c r="M911" t="n">
        <v>0.145</v>
      </c>
      <c r="N911" t="n">
        <v>37</v>
      </c>
      <c r="O911" t="n">
        <v>0.232</v>
      </c>
      <c r="P911" t="n">
        <v>-0.093</v>
      </c>
      <c r="Q911" t="n">
        <v>1.988</v>
      </c>
      <c r="R911" t="inlineStr">
        <is>
          <t>finbert</t>
        </is>
      </c>
      <c r="S911" t="inlineStr">
        <is>
          <t>IBRX Breaks Above This Key Resistance — Stock On Track To Record Best Single-Day Gains In 6 Months - Yahoo Finance</t>
        </is>
      </c>
      <c r="T91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11" t="inlineStr">
        <is>
          <t>Stock Market Today, Oct. 21: Space Exploration Technologies Surges on Q3 Earnings Beat - The Globe and Mail</t>
        </is>
      </c>
      <c r="V91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11" t="inlineStr">
        <is>
          <t>Stock of the Day: Is SpaceX About to Break Out? - TradingView</t>
        </is>
      </c>
      <c r="X911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11" t="inlineStr">
        <is>
          <t>Dow Adds 12, Nasdaq Tumbles 694, S&amp;P 500 Falls 94 - TV News Check</t>
        </is>
      </c>
      <c r="Z91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1" t="inlineStr">
        <is>
          <t>Legrand stock breaks through support at €127.30 and falls 3.5% - Ideal Investisseur</t>
        </is>
      </c>
      <c r="AB911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1" t="inlineStr">
        <is>
          <t>Dow jumps 500 points as earnings optimism steadies market: Live updates - CNBC</t>
        </is>
      </c>
      <c r="AD91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2">
      <c r="A912" t="inlineStr">
        <is>
          <t>2026-10-22T23:01:27+00:00</t>
        </is>
      </c>
      <c r="B912" t="inlineStr">
        <is>
          <t>2026-10-22</t>
        </is>
      </c>
      <c r="C912" t="inlineStr">
        <is>
          <t>Nasdaq</t>
        </is>
      </c>
      <c r="D912" t="inlineStr">
        <is>
          <t>NQ=F</t>
        </is>
      </c>
      <c r="E912" t="n">
        <v>29157.75</v>
      </c>
      <c r="F912" t="n">
        <v>29215</v>
      </c>
      <c r="G912" t="n">
        <v>29033</v>
      </c>
      <c r="H912" t="n">
        <v>29110.75</v>
      </c>
      <c r="I912" t="n">
        <v>192982</v>
      </c>
      <c r="J912" t="n">
        <v>4</v>
      </c>
      <c r="K912" t="n">
        <v>38</v>
      </c>
      <c r="L912" t="n">
        <v>-0.044</v>
      </c>
      <c r="M912" t="n">
        <v>0.097</v>
      </c>
      <c r="N912" t="n">
        <v>35</v>
      </c>
      <c r="O912" t="n">
        <v>0.129</v>
      </c>
      <c r="P912" t="n">
        <v>-0.06</v>
      </c>
      <c r="Q912" t="n">
        <v>2.918</v>
      </c>
      <c r="R912" t="inlineStr">
        <is>
          <t>finbert</t>
        </is>
      </c>
      <c r="S912" t="inlineStr">
        <is>
          <t>A strong profit report from SpaceX helps lift tech stocks and Wall Street - WTOP News</t>
        </is>
      </c>
      <c r="T91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2" t="inlineStr">
        <is>
          <t>Dow outperforms as Wall Street rises, healthcare stocks lead gains - Reuters</t>
        </is>
      </c>
      <c r="V91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2" t="inlineStr">
        <is>
          <t>E-mini Nasdaq-100 futures rally on strong SpaceX AI earnings. - CME Group</t>
        </is>
      </c>
      <c r="X912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2" t="inlineStr">
        <is>
          <t>Dow Adds 12, Nasdaq Tumbles 694, S&amp;P 500 Falls 94 - TV News Check</t>
        </is>
      </c>
      <c r="Z912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2" t="inlineStr">
        <is>
          <t>Micron Just Broke Support, So Buy MUU Into Strength (NASDAQ:MU) - Seeking Alpha</t>
        </is>
      </c>
      <c r="AB91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2" t="inlineStr">
        <is>
          <t>Nasdaq 100 breaks 29,361 support, RSI at 23.5: Live levels - Investing.com</t>
        </is>
      </c>
      <c r="AD91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3">
      <c r="A913" t="inlineStr">
        <is>
          <t>2026-10-22T23:01:27+00:00</t>
        </is>
      </c>
      <c r="B913" t="inlineStr">
        <is>
          <t>2026-10-22</t>
        </is>
      </c>
      <c r="C913" t="inlineStr">
        <is>
          <t>Bitcoin</t>
        </is>
      </c>
      <c r="D913" t="inlineStr">
        <is>
          <t>BTC-USD</t>
        </is>
      </c>
      <c r="E913" t="n">
        <v>81383.5938</v>
      </c>
      <c r="F913" t="n">
        <v>81462.53909999999</v>
      </c>
      <c r="G913" t="n">
        <v>81082.97659999999</v>
      </c>
      <c r="H913" t="n">
        <v>81259.75780000001</v>
      </c>
      <c r="I913" t="n">
        <v>616298496</v>
      </c>
      <c r="J913" t="n">
        <v>4</v>
      </c>
      <c r="K913" t="n">
        <v>38</v>
      </c>
      <c r="L913" t="n">
        <v>0.163</v>
      </c>
      <c r="M913" t="n">
        <v>0.033</v>
      </c>
      <c r="N913" t="n">
        <v>34</v>
      </c>
      <c r="O913" t="n">
        <v>0.37</v>
      </c>
      <c r="P913" t="n">
        <v>-0.219</v>
      </c>
      <c r="Q913" t="n">
        <v>11.392</v>
      </c>
      <c r="R913" t="inlineStr">
        <is>
          <t>finbert</t>
        </is>
      </c>
      <c r="S913" t="inlineStr">
        <is>
          <t>Bitcoin Surges 40% In Its Best Quarter Since Late 2024 - Bitcoin Magazine</t>
        </is>
      </c>
      <c r="T91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13" t="inlineStr">
        <is>
          <t>Bitcoin surges 22% for the week as investor optimism floods back - CNBC</t>
        </is>
      </c>
      <c r="V9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3" t="inlineStr">
        <is>
          <t>Bitcoin Price Prediction: Rally Poised to Continue as BTC ETFs Bag $1 Billion - Yahoo Finance</t>
        </is>
      </c>
      <c r="X91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13" t="inlineStr">
        <is>
          <t>Today's Crypto News: Bitcoin, Ether and Altcoin Insights - Investing News Network</t>
        </is>
      </c>
      <c r="Z91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3" t="inlineStr">
        <is>
          <t>Nearly $1 billion in crypto bets liquidated as bitcoin, ether and XRP slide - CoinDesk</t>
        </is>
      </c>
      <c r="AB91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3" t="inlineStr">
        <is>
          <t>Bitcoin Price Analysis: Treasury Companies Break Even Near $80,000. What Happens if BTC Falls Below It? - 24/7 Wall St.</t>
        </is>
      </c>
      <c r="AD913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</row>
    <row r="914">
      <c r="A914" t="inlineStr">
        <is>
          <t>2026-10-23T03:44:29+00:00</t>
        </is>
      </c>
      <c r="B914" t="inlineStr">
        <is>
          <t>2026-10-23</t>
        </is>
      </c>
      <c r="C914" t="inlineStr">
        <is>
          <t>Gold</t>
        </is>
      </c>
      <c r="D914" t="inlineStr">
        <is>
          <t>GCZ26.CMX</t>
        </is>
      </c>
      <c r="E914" t="n">
        <v>4038.5</v>
      </c>
      <c r="F914" t="n">
        <v>4047.3999</v>
      </c>
      <c r="G914" t="n">
        <v>4000.8999</v>
      </c>
      <c r="H914" t="n">
        <v>4029.8999</v>
      </c>
      <c r="I914" t="n">
        <v>32592</v>
      </c>
      <c r="J914" t="n">
        <v>4</v>
      </c>
      <c r="K914" t="n">
        <v>40</v>
      </c>
      <c r="L914" t="n">
        <v>0.08599999999999999</v>
      </c>
      <c r="M914" t="n">
        <v>0.02</v>
      </c>
      <c r="N914" t="n">
        <v>40</v>
      </c>
      <c r="O914" t="n">
        <v>0</v>
      </c>
      <c r="P914" t="n">
        <v>0.028</v>
      </c>
      <c r="Q914" t="n">
        <v>1.724</v>
      </c>
      <c r="R914" t="inlineStr">
        <is>
          <t>finbert</t>
        </is>
      </c>
      <c r="S914" t="inlineStr">
        <is>
          <t>Royal Mint sees record silver and platinum sales, renewed gold demand despite higher prices and rising bond yields - Kitco</t>
        </is>
      </c>
      <c r="T91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14" t="inlineStr">
        <is>
          <t>War in Iran, higher energy prices are only delaying gold's rally to $5,000; mining stocks remain undervalued – Gabelli - Kitco</t>
        </is>
      </c>
      <c r="V91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14" t="inlineStr">
        <is>
          <t>China gold market update: Q3 ends with strong official gold buying | Post by Ray Jia | Insights - World Gold Council</t>
        </is>
      </c>
      <c r="X91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14" t="inlineStr">
        <is>
          <t>First-half gold ETF flows remained positive – World Gold Council - Mining Weekly</t>
        </is>
      </c>
      <c r="Z9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14" t="inlineStr">
        <is>
          <t>Gold market sees positive ETF inflows in July, ending two months of outflows - Kitco</t>
        </is>
      </c>
      <c r="AB9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14" t="inlineStr">
        <is>
          <t>Gold (XAUUSD) &amp; Silver Price Forecast: Gold Breaks $4,184, Can Silver Clear $61.72? - FXEmpire</t>
        </is>
      </c>
      <c r="AD91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15">
      <c r="A915" t="inlineStr">
        <is>
          <t>2026-10-23T03:44:29+00:00</t>
        </is>
      </c>
      <c r="B915" t="inlineStr">
        <is>
          <t>2026-10-23</t>
        </is>
      </c>
      <c r="C915" t="inlineStr">
        <is>
          <t>Oil</t>
        </is>
      </c>
      <c r="D915" t="inlineStr">
        <is>
          <t>CL=F</t>
        </is>
      </c>
      <c r="E915" t="n">
        <v>99.29000000000001</v>
      </c>
      <c r="F915" t="n">
        <v>100.97</v>
      </c>
      <c r="G915" t="n">
        <v>99.08</v>
      </c>
      <c r="H915" t="n">
        <v>100.02</v>
      </c>
      <c r="I915" t="n">
        <v>21642</v>
      </c>
      <c r="J915" t="n">
        <v>4</v>
      </c>
      <c r="K915" t="n">
        <v>40</v>
      </c>
      <c r="L915" t="n">
        <v>0.066</v>
      </c>
      <c r="M915" t="n">
        <v>-0.194</v>
      </c>
      <c r="N915" t="n">
        <v>40</v>
      </c>
      <c r="O915" t="n">
        <v>-0.048</v>
      </c>
      <c r="P915" t="n">
        <v>-0.035</v>
      </c>
      <c r="Q915" t="n">
        <v>0.37</v>
      </c>
      <c r="R915" t="inlineStr">
        <is>
          <t>finbert</t>
        </is>
      </c>
      <c r="S915" t="inlineStr">
        <is>
          <t>Oil Prices Climb: 3 Energy Stocks Poised to Benefit From the Rally - Yahoo Finance</t>
        </is>
      </c>
      <c r="T915" t="inlineStr">
        <is>
          <t>https://news.google.com/rss/articles/CBMiigFBVV95cUxOR0RCRkY2Yll5VDBBQmpEMnVCTHF0em5yamZ0QmdkY25nN2gxRzNuUTg4akxDZmp2YzJ6RWJNaUN3OG5lOHpGQV9uVkdKOXAxYTBWeWZfSWVuYWwwX3F4UEw0NzlaRWRuWTdrMWM2X3RJT0UwSTBVczNlTkVXUVRlOW5WOTRjclRnaXc?oc=5</t>
        </is>
      </c>
      <c r="U915" t="inlineStr">
        <is>
          <t>Valero sees resilient global fuel demand despite rising costs - Quantum Commodity Intelligence</t>
        </is>
      </c>
      <c r="V915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W915" t="inlineStr">
        <is>
          <t>Oil Prices Climb: 3 Energy Stocks Poised to Benefit From the Rally - Zacks Investment Research</t>
        </is>
      </c>
      <c r="X91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Y915" t="inlineStr">
        <is>
          <t>Saudi Arabia leads OPEC+ production increase: September crude oil daily output rises by 900,000 barrels month-on-month - 富途牛牛</t>
        </is>
      </c>
      <c r="Z91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15" t="inlineStr">
        <is>
          <t>Gulf oil production rebounds ahead of increase in Iran war hostilities - Financial Times</t>
        </is>
      </c>
      <c r="AB91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15" t="inlineStr">
        <is>
          <t>Crude Oil WTI breaks 200MA support at $88: Live levels By Investing.com - Investing.com South Africa</t>
        </is>
      </c>
      <c r="AD91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16">
      <c r="A916" t="inlineStr">
        <is>
          <t>2026-10-23T03:44:29+00:00</t>
        </is>
      </c>
      <c r="B916" t="inlineStr">
        <is>
          <t>2026-10-23</t>
        </is>
      </c>
      <c r="C916" t="inlineStr">
        <is>
          <t>US Dollar</t>
        </is>
      </c>
      <c r="D916" t="inlineStr">
        <is>
          <t>DX-Y.NYB</t>
        </is>
      </c>
      <c r="E916" t="n">
        <v>101.569</v>
      </c>
      <c r="F916" t="n">
        <v>101.7</v>
      </c>
      <c r="G916" t="n">
        <v>101.489</v>
      </c>
      <c r="H916" t="n">
        <v>101.651</v>
      </c>
      <c r="I916" t="n">
        <v>0</v>
      </c>
      <c r="J916" t="n">
        <v>4</v>
      </c>
      <c r="K916" t="n">
        <v>39</v>
      </c>
      <c r="L916" t="n">
        <v>-0.043</v>
      </c>
      <c r="M916" t="n">
        <v>0.109</v>
      </c>
      <c r="N916" t="n">
        <v>37</v>
      </c>
      <c r="O916" t="n">
        <v>0.426</v>
      </c>
      <c r="P916" t="n">
        <v>-0.033</v>
      </c>
      <c r="Q916" t="n">
        <v>8.048</v>
      </c>
      <c r="R916" t="inlineStr">
        <is>
          <t>finbert</t>
        </is>
      </c>
      <c r="S916" t="inlineStr">
        <is>
          <t>Canadian Dollar gains momentum on rising oil prices, hawkish BoC rate hike bets - FXStreet</t>
        </is>
      </c>
      <c r="T91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6" t="inlineStr">
        <is>
          <t>Canadian dollar strengthens as oil prices, BoC rate hike bets support loonie - Investing.com</t>
        </is>
      </c>
      <c r="V91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16" t="inlineStr">
        <is>
          <t>Yen Surges as AI Jitters Drive Safe-Haven Demand in Currency Markets - Global Banking &amp; Finance Review</t>
        </is>
      </c>
      <c r="X916" t="inlineStr">
        <is>
          <t>https://news.google.com/rss/articles/CBMiiwFBVV95cUxOT2kzZl81ZGJGdGVEZWxGaGJ4aDJWSjlqbzdlNlU1ZWgzamFrOEtka0poLUxWSGRjckFUdHZVUkkzRjNzdVRsVEVrdFlqVi01eFpKUG5oUUhjWkdjcE1ad3BiYzU2Z3gwNXQ5eERYR1lWMlBkWWlGWXFiai1SQmxic0NsUTdNWHJOWlJF?oc=5</t>
        </is>
      </c>
      <c r="Y916" t="inlineStr">
        <is>
          <t>USD exchange rate today, October 21, 2026: DXY falls to 101.71 points. - Vietnam.vn</t>
        </is>
      </c>
      <c r="Z91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6" t="inlineStr">
        <is>
          <t>DXY Falls on Thursday - TradingView</t>
        </is>
      </c>
      <c r="AB91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6" t="inlineStr">
        <is>
          <t>The bond market sell-off is helping the dollar - The Economist</t>
        </is>
      </c>
      <c r="AD91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7">
      <c r="A917" t="inlineStr">
        <is>
          <t>2026-10-23T03:44:29+00:00</t>
        </is>
      </c>
      <c r="B917" t="inlineStr">
        <is>
          <t>2026-10-23</t>
        </is>
      </c>
      <c r="C917" t="inlineStr">
        <is>
          <t>S&amp;P 500</t>
        </is>
      </c>
      <c r="D917" t="inlineStr">
        <is>
          <t>ES=F</t>
        </is>
      </c>
      <c r="E917" t="n">
        <v>7706</v>
      </c>
      <c r="F917" t="n">
        <v>7711.75</v>
      </c>
      <c r="G917" t="n">
        <v>7685</v>
      </c>
      <c r="H917" t="n">
        <v>7704.5</v>
      </c>
      <c r="I917" t="n">
        <v>75029</v>
      </c>
      <c r="J917" t="n">
        <v>4</v>
      </c>
      <c r="K917" t="n">
        <v>40</v>
      </c>
      <c r="L917" t="n">
        <v>-0.112</v>
      </c>
      <c r="M917" t="n">
        <v>0.185</v>
      </c>
      <c r="N917" t="n">
        <v>37</v>
      </c>
      <c r="O917" t="n">
        <v>0.325</v>
      </c>
      <c r="P917" t="n">
        <v>-0.019</v>
      </c>
      <c r="Q917" t="n">
        <v>5.292</v>
      </c>
      <c r="R917" t="inlineStr">
        <is>
          <t>finbert</t>
        </is>
      </c>
      <c r="S917" t="inlineStr">
        <is>
          <t>Stock Market Today, Oct. 19: Cleveland-Cliffs Surges on Stronger Q3 Results and Raised 2027 EBITDA Outlook - The Motley Fool</t>
        </is>
      </c>
      <c r="T917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17" t="inlineStr">
        <is>
          <t>Stock Market Today, Oct. 21: Space Exploration Technologies Surges on Q3 Earnings Beat - Yahoo Finance</t>
        </is>
      </c>
      <c r="V91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17" t="inlineStr">
        <is>
          <t>Tech stocks lead market higher as SpaceX shares surge: AlphaCheck - Yahoo Finance</t>
        </is>
      </c>
      <c r="X91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17" t="inlineStr">
        <is>
          <t>Dow Adds 12, Nasdaq Tumbles 694, S&amp;P 500 Falls 94 - TV News Check</t>
        </is>
      </c>
      <c r="Z91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7" t="inlineStr">
        <is>
          <t>Legrand stock breaks through support at €127.30 and falls 3.5% - Ideal Investisseur</t>
        </is>
      </c>
      <c r="AB917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7" t="inlineStr">
        <is>
          <t>Dow jumps 500 points as earnings optimism steadies market: Live updates - CNBC</t>
        </is>
      </c>
      <c r="AD91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8">
      <c r="A918" t="inlineStr">
        <is>
          <t>2026-10-23T03:44:29+00:00</t>
        </is>
      </c>
      <c r="B918" t="inlineStr">
        <is>
          <t>2026-10-23</t>
        </is>
      </c>
      <c r="C918" t="inlineStr">
        <is>
          <t>Nasdaq</t>
        </is>
      </c>
      <c r="D918" t="inlineStr">
        <is>
          <t>NQ=F</t>
        </is>
      </c>
      <c r="E918" t="n">
        <v>29087.5</v>
      </c>
      <c r="F918" t="n">
        <v>29212.5</v>
      </c>
      <c r="G918" t="n">
        <v>29022.75</v>
      </c>
      <c r="H918" t="n">
        <v>29189</v>
      </c>
      <c r="I918" t="n">
        <v>50990</v>
      </c>
      <c r="J918" t="n">
        <v>4</v>
      </c>
      <c r="K918" t="n">
        <v>38</v>
      </c>
      <c r="L918" t="n">
        <v>-0.083</v>
      </c>
      <c r="M918" t="n">
        <v>0.103</v>
      </c>
      <c r="N918" t="n">
        <v>33</v>
      </c>
      <c r="O918" t="n">
        <v>0.157</v>
      </c>
      <c r="P918" t="n">
        <v>-0.032</v>
      </c>
      <c r="Q918" t="n">
        <v>3.516</v>
      </c>
      <c r="R918" t="inlineStr">
        <is>
          <t>finbert</t>
        </is>
      </c>
      <c r="S918" t="inlineStr">
        <is>
          <t>A strong profit report from SpaceX helps lift tech stocks and Wall Street - WTOP News</t>
        </is>
      </c>
      <c r="T91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8" t="inlineStr">
        <is>
          <t>Dow outperforms as Wall Street rises, healthcare stocks lead gains - Reuters</t>
        </is>
      </c>
      <c r="V91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8" t="inlineStr">
        <is>
          <t>E-mini Nasdaq-100 futures rally on strong SpaceX AI earnings. - CME Group</t>
        </is>
      </c>
      <c r="X918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8" t="inlineStr">
        <is>
          <t>Dow Adds 12, Nasdaq Tumbles 694, S&amp;P 500 Falls 94 - TV News Check</t>
        </is>
      </c>
      <c r="Z918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8" t="inlineStr">
        <is>
          <t>Micron Just Broke Support, So Buy MUU Into Strength (NASDAQ:MU) - Seeking Alpha</t>
        </is>
      </c>
      <c r="AB91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8" t="inlineStr">
        <is>
          <t>Nasdaq 100 breaks 29,361 support, RSI at 23.5: Live levels - Investing.com</t>
        </is>
      </c>
      <c r="AD91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9">
      <c r="A919" t="inlineStr">
        <is>
          <t>2026-10-23T03:44:29+00:00</t>
        </is>
      </c>
      <c r="B919" t="inlineStr">
        <is>
          <t>2026-10-23</t>
        </is>
      </c>
      <c r="C919" t="inlineStr">
        <is>
          <t>Bitcoin</t>
        </is>
      </c>
      <c r="D919" t="inlineStr">
        <is>
          <t>BTC-USD</t>
        </is>
      </c>
      <c r="E919" t="n">
        <v>81281.5938</v>
      </c>
      <c r="F919" t="n">
        <v>81889.97659999999</v>
      </c>
      <c r="G919" t="n">
        <v>81012.3438</v>
      </c>
      <c r="H919" t="n">
        <v>81829</v>
      </c>
      <c r="I919" t="n">
        <v>429234176</v>
      </c>
      <c r="J919" t="n">
        <v>4</v>
      </c>
      <c r="K919" t="n">
        <v>38</v>
      </c>
      <c r="L919" t="n">
        <v>0.163</v>
      </c>
      <c r="M919" t="n">
        <v>0.031</v>
      </c>
      <c r="N919" t="n">
        <v>34</v>
      </c>
      <c r="O919" t="n">
        <v>0.488</v>
      </c>
      <c r="P919" t="n">
        <v>-0.203</v>
      </c>
      <c r="Q919" t="n">
        <v>13.395</v>
      </c>
      <c r="R919" t="inlineStr">
        <is>
          <t>finbert</t>
        </is>
      </c>
      <c r="S919" t="inlineStr">
        <is>
          <t>Bitcoin surges to $83.3K as US stocks climb on strong Q3 earnings and oil prices drop - Pluang</t>
        </is>
      </c>
      <c r="T91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19" t="inlineStr">
        <is>
          <t>Bitcoin surges 22% for the week as investor optimism floods back - CNBC</t>
        </is>
      </c>
      <c r="V9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9" t="inlineStr">
        <is>
          <t>Bitcoin jumps to $83,000, stocks rise as China GDP beats estimates - CoinDesk</t>
        </is>
      </c>
      <c r="X91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19" t="inlineStr">
        <is>
          <t>Today's Crypto News: Bitcoin, Ether and Altcoin Insights - Investing News Network</t>
        </is>
      </c>
      <c r="Z91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9" t="inlineStr">
        <is>
          <t>Nearly $1 billion in crypto bets liquidated as bitcoin, ether and XRP slide - CoinDesk</t>
        </is>
      </c>
      <c r="AB91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9" t="inlineStr">
        <is>
          <t>Bitcoin Long Liquidations Reach $18.41 Million in One Hour - www.tokenpost.com</t>
        </is>
      </c>
      <c r="AD919" t="inlineStr">
        <is>
          <t>https://news.google.com/rss/articles/CBMiWkFVX3lxTFA0aFJjelFRT214dVljX2VpaG5GOFVNclZoRG5QdEtBcGh4bklaY3FiTVhxQXR5VzAtS0VlcE5tQ25LOXo2UG9QaUdPcmhtR2VpakZGakhOd3N6dw?oc=5</t>
        </is>
      </c>
    </row>
    <row r="920">
      <c r="A920" t="inlineStr">
        <is>
          <t>2026-10-23T09:11:04+00:00</t>
        </is>
      </c>
      <c r="B920" t="inlineStr">
        <is>
          <t>2026-10-23</t>
        </is>
      </c>
      <c r="C920" t="inlineStr">
        <is>
          <t>Gold</t>
        </is>
      </c>
      <c r="D920" t="inlineStr">
        <is>
          <t>GCZ26.CMX</t>
        </is>
      </c>
      <c r="E920" t="n">
        <v>4035.3999</v>
      </c>
      <c r="F920" t="n">
        <v>4039.3999</v>
      </c>
      <c r="G920" t="n">
        <v>4023.7</v>
      </c>
      <c r="H920" t="n">
        <v>4036.5</v>
      </c>
      <c r="I920" t="n">
        <v>13302</v>
      </c>
      <c r="J920" t="n">
        <v>4</v>
      </c>
      <c r="K920" t="n">
        <v>40</v>
      </c>
      <c r="L920" t="n">
        <v>-0.023</v>
      </c>
      <c r="M920" t="n">
        <v>-0.001</v>
      </c>
      <c r="N920" t="n">
        <v>39</v>
      </c>
      <c r="O920" t="n">
        <v>0.005</v>
      </c>
      <c r="P920" t="n">
        <v>0.027</v>
      </c>
      <c r="Q920" t="n">
        <v>0.136</v>
      </c>
      <c r="R920" t="inlineStr">
        <is>
          <t>finbert</t>
        </is>
      </c>
      <c r="S920" t="inlineStr">
        <is>
          <t>Royal Mint sees record silver and platinum sales, renewed gold demand despite higher prices and rising bond yields - Kitco</t>
        </is>
      </c>
      <c r="T92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20" t="inlineStr">
        <is>
          <t>War in Iran, higher energy prices are only delaying gold's rally to $5,000; mining stocks remain undervalued – Gabelli - Kitco</t>
        </is>
      </c>
      <c r="V92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20" t="inlineStr">
        <is>
          <t>Safe-haven demand fuels Japanese Yen surge as risk appetite fades - www.tmgm.com</t>
        </is>
      </c>
      <c r="X92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20" t="inlineStr">
        <is>
          <t>First-half gold ETF flows remained positive – World Gold Council - Mining Weekly</t>
        </is>
      </c>
      <c r="Z9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20" t="inlineStr">
        <is>
          <t>Gold market sees positive ETF inflows in July, ending two months of outflows - Kitco</t>
        </is>
      </c>
      <c r="AB9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0" t="inlineStr">
        <is>
          <t>Gold (XAUUSD) &amp; Silver Price Forecast: Gold Breaks $4,184, Can Silver Clear $61.72? - FXEmpire</t>
        </is>
      </c>
      <c r="AD92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1">
      <c r="A921" t="inlineStr">
        <is>
          <t>2026-10-23T09:11:04+00:00</t>
        </is>
      </c>
      <c r="B921" t="inlineStr">
        <is>
          <t>2026-10-23</t>
        </is>
      </c>
      <c r="C921" t="inlineStr">
        <is>
          <t>Oil</t>
        </is>
      </c>
      <c r="D921" t="inlineStr">
        <is>
          <t>CL=F</t>
        </is>
      </c>
      <c r="E921" t="n">
        <v>100.71</v>
      </c>
      <c r="F921" t="n">
        <v>100.98</v>
      </c>
      <c r="G921" t="n">
        <v>99.98</v>
      </c>
      <c r="H921" t="n">
        <v>100.25</v>
      </c>
      <c r="I921" t="n">
        <v>25302</v>
      </c>
      <c r="J921" t="n">
        <v>4</v>
      </c>
      <c r="K921" t="n">
        <v>40</v>
      </c>
      <c r="L921" t="n">
        <v>0.165</v>
      </c>
      <c r="M921" t="n">
        <v>-0.197</v>
      </c>
      <c r="N921" t="n">
        <v>40</v>
      </c>
      <c r="O921" t="n">
        <v>-0.051</v>
      </c>
      <c r="P921" t="n">
        <v>-0.113</v>
      </c>
      <c r="Q921" t="n">
        <v>2.269</v>
      </c>
      <c r="R921" t="inlineStr">
        <is>
          <t>finbert</t>
        </is>
      </c>
      <c r="S921" t="inlineStr">
        <is>
          <t>Oil Prices Climb: 3 Energy Stocks Poised to Benefit From the Rally - Zacks Investment Research</t>
        </is>
      </c>
      <c r="T92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1" t="inlineStr">
        <is>
          <t>Oil surges 6%, Brent and US crude both surpass $100 on more tanker attacks - Reuters</t>
        </is>
      </c>
      <c r="V9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1" t="inlineStr">
        <is>
          <t>Japan Calls for Stronger Energy Supply Structure in White Paper - nippon.com</t>
        </is>
      </c>
      <c r="X921" t="inlineStr">
        <is>
          <t>https://news.google.com/rss/articles/CBMitwFBVV95cUxQMkxTTlhaLVZlTThUMWNsUE4tQ0NCdE5oVHhwRkRBTXhlZmtsZk1lX2NSdHRoQUVMdjM5Vk1FYllydFlreDJhSVp3VEFDeWJadGYzVVlHNHB6ZzU4VzBMT2E1WjM4VlpkVzRlR2NDTkVsYnI4MDh1d1IyR1o0TDV1d0dRcEJoTkh2aGg5a21CMF9hR1MtUU9fazc2S0JjTzRoQ3ZYMWt0U2x2MThuT0dOTGtHWG9xY1k?oc=5</t>
        </is>
      </c>
      <c r="Y921" t="inlineStr">
        <is>
          <t>Saudi Arabia leads OPEC+ production increase: September crude oil daily output rises by 900,000 barrels month-on-month - 富途牛牛</t>
        </is>
      </c>
      <c r="Z92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21" t="inlineStr">
        <is>
          <t>Gulf oil production rebounds ahead of increase in Iran war hostilities - Financial Times</t>
        </is>
      </c>
      <c r="AB92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21" t="inlineStr">
        <is>
          <t>Crude Oil WTI breaks 200MA support at $88: Live levels By Investing.com - Investing.com South Africa</t>
        </is>
      </c>
      <c r="AD92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22">
      <c r="A922" t="inlineStr">
        <is>
          <t>2026-10-23T09:11:04+00:00</t>
        </is>
      </c>
      <c r="B922" t="inlineStr">
        <is>
          <t>2026-10-23</t>
        </is>
      </c>
      <c r="C922" t="inlineStr">
        <is>
          <t>US Dollar</t>
        </is>
      </c>
      <c r="D922" t="inlineStr">
        <is>
          <t>DX-Y.NYB</t>
        </is>
      </c>
      <c r="E922" t="n">
        <v>101.683</v>
      </c>
      <c r="F922" t="n">
        <v>101.851</v>
      </c>
      <c r="G922" t="n">
        <v>101.649</v>
      </c>
      <c r="H922" t="n">
        <v>101.812</v>
      </c>
      <c r="I922" t="n">
        <v>0</v>
      </c>
      <c r="J922" t="n">
        <v>4</v>
      </c>
      <c r="K922" t="n">
        <v>39</v>
      </c>
      <c r="L922" t="n">
        <v>-0.207</v>
      </c>
      <c r="M922" t="n">
        <v>0.133</v>
      </c>
      <c r="N922" t="n">
        <v>38</v>
      </c>
      <c r="O922" t="n">
        <v>0.368</v>
      </c>
      <c r="P922" t="n">
        <v>-0.029</v>
      </c>
      <c r="Q922" t="n">
        <v>3.449</v>
      </c>
      <c r="R922" t="inlineStr">
        <is>
          <t>finbert</t>
        </is>
      </c>
      <c r="S922" t="inlineStr">
        <is>
          <t>Canadian Dollar gains momentum on rising oil prices, hawkish BoC rate hike bets - FXStreet</t>
        </is>
      </c>
      <c r="T92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2" t="inlineStr">
        <is>
          <t>Canadian dollar strengthens as oil prices, BoC rate hike bets support loonie - Yahoo Finance UK</t>
        </is>
      </c>
      <c r="V92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22" t="inlineStr">
        <is>
          <t>Canadian dollar strengthens as oil prices, BoC rate hike bets support loonie - Investing.com</t>
        </is>
      </c>
      <c r="X922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22" t="inlineStr">
        <is>
          <t>USD exchange rate today, October 21, 2026: DXY falls to 101.71 points. - Vietnam.vn</t>
        </is>
      </c>
      <c r="Z922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22" t="inlineStr">
        <is>
          <t>DXY Falls on Thursday - TradingView</t>
        </is>
      </c>
      <c r="AB92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22" t="inlineStr">
        <is>
          <t>The bond market sell-off is helping the dollar - The Economist</t>
        </is>
      </c>
      <c r="AD92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23">
      <c r="A923" t="inlineStr">
        <is>
          <t>2026-10-23T09:11:04+00:00</t>
        </is>
      </c>
      <c r="B923" t="inlineStr">
        <is>
          <t>2026-10-23</t>
        </is>
      </c>
      <c r="C923" t="inlineStr">
        <is>
          <t>S&amp;P 500</t>
        </is>
      </c>
      <c r="D923" t="inlineStr">
        <is>
          <t>ES=F</t>
        </is>
      </c>
      <c r="E923" t="n">
        <v>7694</v>
      </c>
      <c r="F923" t="n">
        <v>7712.25</v>
      </c>
      <c r="G923" t="n">
        <v>7691.75</v>
      </c>
      <c r="H923" t="n">
        <v>7701.5</v>
      </c>
      <c r="I923" t="n">
        <v>71632</v>
      </c>
      <c r="J923" t="n">
        <v>4</v>
      </c>
      <c r="K923" t="n">
        <v>40</v>
      </c>
      <c r="L923" t="n">
        <v>-0.201</v>
      </c>
      <c r="M923" t="n">
        <v>0.14</v>
      </c>
      <c r="N923" t="n">
        <v>36</v>
      </c>
      <c r="O923" t="n">
        <v>0.329</v>
      </c>
      <c r="P923" t="n">
        <v>-0.038</v>
      </c>
      <c r="Q923" t="n">
        <v>3.901</v>
      </c>
      <c r="R923" t="inlineStr">
        <is>
          <t>finbert</t>
        </is>
      </c>
      <c r="S923" t="inlineStr">
        <is>
          <t>Stock Market Today, Oct. 19: Cleveland-Cliffs Surges on Stronger Q3 Results and Raised 2027 EBITDA Outlook - The Motley Fool</t>
        </is>
      </c>
      <c r="T923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23" t="inlineStr">
        <is>
          <t>IBRX Breaks Above This Key Resistance — Stock On Track To Record Best Single-Day Gains In 6 Months - Yahoo Finance</t>
        </is>
      </c>
      <c r="V92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923" t="inlineStr">
        <is>
          <t>Stock Market Today, Oct. 21: Space Exploration Technologies Surges on Q3 Earnings Beat - Yahoo Finance</t>
        </is>
      </c>
      <c r="X92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Y923" t="inlineStr">
        <is>
          <t>Dow Adds 12, Nasdaq Tumbles 694, S&amp;P 500 Falls 94 - TV News Check</t>
        </is>
      </c>
      <c r="Z92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3" t="inlineStr">
        <is>
          <t>Stock market today: Dow, S&amp;P 500, Nasdaq sink as tech sell-off caps volatile week - Yahoo Finance</t>
        </is>
      </c>
      <c r="AB92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  <c r="AC923" t="inlineStr">
        <is>
          <t>S&amp;P 500 Reaches New Record High - WSJ</t>
        </is>
      </c>
      <c r="AD923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24">
      <c r="A924" t="inlineStr">
        <is>
          <t>2026-10-23T09:11:04+00:00</t>
        </is>
      </c>
      <c r="B924" t="inlineStr">
        <is>
          <t>2026-10-23</t>
        </is>
      </c>
      <c r="C924" t="inlineStr">
        <is>
          <t>Nasdaq</t>
        </is>
      </c>
      <c r="D924" t="inlineStr">
        <is>
          <t>NQ=F</t>
        </is>
      </c>
      <c r="E924" t="n">
        <v>29135.25</v>
      </c>
      <c r="F924" t="n">
        <v>29279</v>
      </c>
      <c r="G924" t="n">
        <v>29125.25</v>
      </c>
      <c r="H924" t="n">
        <v>29221.5</v>
      </c>
      <c r="I924" t="n">
        <v>38411</v>
      </c>
      <c r="J924" t="n">
        <v>4</v>
      </c>
      <c r="K924" t="n">
        <v>39</v>
      </c>
      <c r="L924" t="n">
        <v>-0.16</v>
      </c>
      <c r="M924" t="n">
        <v>0.11</v>
      </c>
      <c r="N924" t="n">
        <v>34</v>
      </c>
      <c r="O924" t="n">
        <v>0.245</v>
      </c>
      <c r="P924" t="n">
        <v>-0.055</v>
      </c>
      <c r="Q924" t="n">
        <v>3.546</v>
      </c>
      <c r="R924" t="inlineStr">
        <is>
          <t>finbert</t>
        </is>
      </c>
      <c r="S924" t="inlineStr">
        <is>
          <t>A strong profit report from SpaceX helps lift tech stocks and Wall Street - Yahoo Finance</t>
        </is>
      </c>
      <c r="T92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24" t="inlineStr">
        <is>
          <t>A strong profit report from SpaceX helps lift tech stocks and Wall Street - WTOP News</t>
        </is>
      </c>
      <c r="V92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24" t="inlineStr">
        <is>
          <t>Dow outperforms as Wall Street rises, healthcare stocks lead gains - Reuters</t>
        </is>
      </c>
      <c r="X92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4" t="inlineStr">
        <is>
          <t>Dow Adds 12, Nasdaq Tumbles 694, S&amp;P 500 Falls 94 - TV News Check</t>
        </is>
      </c>
      <c r="Z924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4" t="inlineStr">
        <is>
          <t>Micron Just Broke Support, So Buy MUU Into Strength (NASDAQ:MU) - Seeking Alpha</t>
        </is>
      </c>
      <c r="AB92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24" t="inlineStr">
        <is>
          <t>Nasdaq 100 breaks 29,361 support, RSI at 23.5: Live levels - Investing.com</t>
        </is>
      </c>
      <c r="AD92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25">
      <c r="A925" t="inlineStr">
        <is>
          <t>2026-10-23T09:11:04+00:00</t>
        </is>
      </c>
      <c r="B925" t="inlineStr">
        <is>
          <t>2026-10-23</t>
        </is>
      </c>
      <c r="C925" t="inlineStr">
        <is>
          <t>Bitcoin</t>
        </is>
      </c>
      <c r="D925" t="inlineStr">
        <is>
          <t>BTC-USD</t>
        </is>
      </c>
      <c r="E925" t="n">
        <v>81712.88280000001</v>
      </c>
      <c r="F925" t="n">
        <v>81859.4688</v>
      </c>
      <c r="G925" t="n">
        <v>81429.0938</v>
      </c>
      <c r="H925" t="n">
        <v>81677.6875</v>
      </c>
      <c r="I925" t="n">
        <v>1806970880</v>
      </c>
      <c r="J925" t="n">
        <v>4</v>
      </c>
      <c r="K925" t="n">
        <v>38</v>
      </c>
      <c r="L925" t="n">
        <v>0.119</v>
      </c>
      <c r="M925" t="n">
        <v>0.027</v>
      </c>
      <c r="N925" t="n">
        <v>36</v>
      </c>
      <c r="O925" t="n">
        <v>0.388</v>
      </c>
      <c r="P925" t="n">
        <v>-0.17</v>
      </c>
      <c r="Q925" t="n">
        <v>10.255</v>
      </c>
      <c r="R925" t="inlineStr">
        <is>
          <t>finbert</t>
        </is>
      </c>
      <c r="S925" t="inlineStr">
        <is>
          <t>Bitcoin surges to $83.3K as US stocks climb on strong Q3 earnings and oil prices drop - Pluang</t>
        </is>
      </c>
      <c r="T925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25" t="inlineStr">
        <is>
          <t>Bitcoin surges 22% for the week as investor optimism floods back - CNBC</t>
        </is>
      </c>
      <c r="V9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25" t="inlineStr">
        <is>
          <t>Bitcoin jumps to $83,000, stocks rise as China GDP beats estimates - CoinDesk</t>
        </is>
      </c>
      <c r="X92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25" t="inlineStr">
        <is>
          <t>How Much of Your Portfolio Should Be in Bitcoin After JPMorgan’s 10% Forecast? - 24/7 Wall St.</t>
        </is>
      </c>
      <c r="Z925" t="inlineStr">
        <is>
          <t>https://news.google.com/rss/articles/CBMizwFBVV95cUxQUnFfb25CUEczWnd2YzNvZE1XREMxdTJCN3RnSXktTW04c241UnhUbXJ4RWlsTmFTdXpjbWFka1ZqX1ZGdGVtUnNobVBaQnlMbXBjbTdyb0Nhcldhd3Z0VkdIRGZfTWtVZHA3ZGp5TzBOWmFweUs4MFhzMTNaUS1qalN6b0FTZl9acm1PRGdEY2RUUXVrWmViYURYVVJQYjFWUk83RGhKdlh0bDBQT1VMX2ZOblNBcGJldFNXbElhS0RrcUwtQ3RsQzRMVEwwdzQ?oc=5</t>
        </is>
      </c>
      <c r="AA925" t="inlineStr">
        <is>
          <t>Today's Crypto News: Bitcoin, Ether and Altcoin Insights - Investing News Network</t>
        </is>
      </c>
      <c r="AB92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25" t="inlineStr">
        <is>
          <t>Bitcoin price $81,568 after $431m liquidations - CryptoTicker</t>
        </is>
      </c>
      <c r="AD92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26">
      <c r="A926" t="inlineStr">
        <is>
          <t>2026-10-23T16:38:08+00:00</t>
        </is>
      </c>
      <c r="B926" t="inlineStr">
        <is>
          <t>2026-10-23</t>
        </is>
      </c>
      <c r="C926" t="inlineStr">
        <is>
          <t>Gold</t>
        </is>
      </c>
      <c r="D926" t="inlineStr">
        <is>
          <t>GCZ26.CMX</t>
        </is>
      </c>
      <c r="E926" t="n">
        <v>4040.3</v>
      </c>
      <c r="F926" t="n">
        <v>4050.2</v>
      </c>
      <c r="G926" t="n">
        <v>3989.1001</v>
      </c>
      <c r="H926" t="n">
        <v>4015.2</v>
      </c>
      <c r="I926" t="n">
        <v>65478</v>
      </c>
      <c r="J926" t="n">
        <v>4</v>
      </c>
      <c r="K926" t="n">
        <v>40</v>
      </c>
      <c r="L926" t="n">
        <v>-0.119</v>
      </c>
      <c r="M926" t="n">
        <v>0.003</v>
      </c>
      <c r="N926" t="n">
        <v>39</v>
      </c>
      <c r="O926" t="n">
        <v>0.023</v>
      </c>
      <c r="P926" t="n">
        <v>0.022</v>
      </c>
      <c r="Q926" t="n">
        <v>-1.436</v>
      </c>
      <c r="R926" t="inlineStr">
        <is>
          <t>finbert</t>
        </is>
      </c>
      <c r="S926" t="inlineStr">
        <is>
          <t>Gold set for fresh record on strong precious metals sentiment - Yahoo Finance Singapore</t>
        </is>
      </c>
      <c r="T92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26" t="inlineStr">
        <is>
          <t>Royal Mint sees record silver and platinum sales, renewed gold demand despite higher prices and rising bond yields - Kitco</t>
        </is>
      </c>
      <c r="V92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26" t="inlineStr">
        <is>
          <t>Gold Prices Surge to Record High Amid Safe-Haven Demand - Global Banking &amp; Finance Review</t>
        </is>
      </c>
      <c r="X926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Y926" t="inlineStr">
        <is>
          <t>UK crowned in a record quarter - World Gold Council</t>
        </is>
      </c>
      <c r="Z92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6" t="inlineStr">
        <is>
          <t>Gold market sees positive ETF inflows in July, ending two months of outflows - Kitco</t>
        </is>
      </c>
      <c r="AB9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6" t="inlineStr">
        <is>
          <t>Gold (XAUUSD) &amp; Silver Price Forecast: Gold Breaks $4,184, Can Silver Clear $61.72? - FXEmpire</t>
        </is>
      </c>
      <c r="AD92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7">
      <c r="A927" t="inlineStr">
        <is>
          <t>2026-10-23T16:38:08+00:00</t>
        </is>
      </c>
      <c r="B927" t="inlineStr">
        <is>
          <t>2026-10-23</t>
        </is>
      </c>
      <c r="C927" t="inlineStr">
        <is>
          <t>Oil</t>
        </is>
      </c>
      <c r="D927" t="inlineStr">
        <is>
          <t>CL=F</t>
        </is>
      </c>
      <c r="E927" t="n">
        <v>101.19</v>
      </c>
      <c r="F927" t="n">
        <v>103.3</v>
      </c>
      <c r="G927" t="n">
        <v>100.85</v>
      </c>
      <c r="H927" t="n">
        <v>103.09</v>
      </c>
      <c r="I927" t="n">
        <v>126348</v>
      </c>
      <c r="J927" t="n">
        <v>4</v>
      </c>
      <c r="K927" t="n">
        <v>40</v>
      </c>
      <c r="L927" t="n">
        <v>0.138</v>
      </c>
      <c r="M927" t="n">
        <v>-0.229</v>
      </c>
      <c r="N927" t="n">
        <v>40</v>
      </c>
      <c r="O927" t="n">
        <v>0.044</v>
      </c>
      <c r="P927" t="n">
        <v>-0.097</v>
      </c>
      <c r="Q927" t="n">
        <v>3.634</v>
      </c>
      <c r="R927" t="inlineStr">
        <is>
          <t>finbert</t>
        </is>
      </c>
      <c r="S927" t="inlineStr">
        <is>
          <t>Oil Prices Climb: 3 Energy Stocks Poised to Benefit From the Rally - Zacks Investment Research</t>
        </is>
      </c>
      <c r="T92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7" t="inlineStr">
        <is>
          <t>Oil surges 6%, Brent and US crude both surpass $100 on more tanker attacks - Reuters</t>
        </is>
      </c>
      <c r="V9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7" t="inlineStr">
        <is>
          <t>OPEC+ keeps oil output policy unchanged for October - Reuters</t>
        </is>
      </c>
      <c r="X9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927" t="inlineStr">
        <is>
          <t>Crude Oil WTI breaks 200MA support at $88: Live levels By Investing.com - Investing.com South Africa</t>
        </is>
      </c>
      <c r="Z92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27" t="inlineStr">
        <is>
          <t>Natural Gas and Oil Forecast: WTI Tests $91.40, Can Brent Break $106 and NG Reach $3.35? - FXEmpire</t>
        </is>
      </c>
      <c r="AB92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27" t="inlineStr">
        <is>
          <t>OPEC+ approves further oil output increase as Hormuz exports start to recover - CNBC</t>
        </is>
      </c>
      <c r="AD9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28">
      <c r="A928" t="inlineStr">
        <is>
          <t>2026-10-23T16:38:08+00:00</t>
        </is>
      </c>
      <c r="B928" t="inlineStr">
        <is>
          <t>2026-10-23</t>
        </is>
      </c>
      <c r="C928" t="inlineStr">
        <is>
          <t>US Dollar</t>
        </is>
      </c>
      <c r="D928" t="inlineStr">
        <is>
          <t>DX-Y.NYB</t>
        </is>
      </c>
      <c r="E928" t="n">
        <v>101.646</v>
      </c>
      <c r="F928" t="n">
        <v>101.826</v>
      </c>
      <c r="G928" t="n">
        <v>101.642</v>
      </c>
      <c r="H928" t="n">
        <v>101.814</v>
      </c>
      <c r="I928" t="n">
        <v>0</v>
      </c>
      <c r="J928" t="n">
        <v>4</v>
      </c>
      <c r="K928" t="n">
        <v>39</v>
      </c>
      <c r="L928" t="n">
        <v>-0.056</v>
      </c>
      <c r="M928" t="n">
        <v>0.096</v>
      </c>
      <c r="N928" t="n">
        <v>38</v>
      </c>
      <c r="O928" t="n">
        <v>0.225</v>
      </c>
      <c r="P928" t="n">
        <v>-0.076</v>
      </c>
      <c r="Q928" t="n">
        <v>3.694</v>
      </c>
      <c r="R928" t="inlineStr">
        <is>
          <t>finbert</t>
        </is>
      </c>
      <c r="S928" t="inlineStr">
        <is>
          <t>Canadian Dollar gains momentum on rising oil prices, hawkish BoC rate hike bets - FXStreet</t>
        </is>
      </c>
      <c r="T92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8" t="inlineStr">
        <is>
          <t>Canadian dollar strengthens as oil prices, BoC rate hike bets support loonie - Investing.com</t>
        </is>
      </c>
      <c r="V92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28" t="inlineStr">
        <is>
          <t>CANADA FX DEBT - Canadian dollar strengthens, benchmark yield climbs - TradingView</t>
        </is>
      </c>
      <c r="X928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28" t="inlineStr">
        <is>
          <t>us market good news dollar index drop trump iran crude view - Zee Business</t>
        </is>
      </c>
      <c r="Z92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28" t="inlineStr">
        <is>
          <t>USD exchange rate today, October 21, 2026: DXY falls to 101.71 points. - Vietnam.vn</t>
        </is>
      </c>
      <c r="AB928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28" t="inlineStr">
        <is>
          <t>DXY Falls on Thursday - TradingView</t>
        </is>
      </c>
      <c r="AD92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29">
      <c r="A929" t="inlineStr">
        <is>
          <t>2026-10-23T16:38:08+00:00</t>
        </is>
      </c>
      <c r="B929" t="inlineStr">
        <is>
          <t>2026-10-23</t>
        </is>
      </c>
      <c r="C929" t="inlineStr">
        <is>
          <t>S&amp;P 500</t>
        </is>
      </c>
      <c r="D929" t="inlineStr">
        <is>
          <t>ES=F</t>
        </is>
      </c>
      <c r="E929" t="n">
        <v>7667.25</v>
      </c>
      <c r="F929" t="n">
        <v>7697.25</v>
      </c>
      <c r="G929" t="n">
        <v>7648.5</v>
      </c>
      <c r="H929" t="n">
        <v>7679.25</v>
      </c>
      <c r="I929" t="n">
        <v>820215</v>
      </c>
      <c r="J929" t="n">
        <v>4</v>
      </c>
      <c r="K929" t="n">
        <v>39</v>
      </c>
      <c r="L929" t="n">
        <v>-0.269</v>
      </c>
      <c r="M929" t="n">
        <v>0.134</v>
      </c>
      <c r="N929" t="n">
        <v>38</v>
      </c>
      <c r="O929" t="n">
        <v>0.245</v>
      </c>
      <c r="P929" t="n">
        <v>-0.08799999999999999</v>
      </c>
      <c r="Q929" t="n">
        <v>-0.097</v>
      </c>
      <c r="R929" t="inlineStr">
        <is>
          <t>finbert</t>
        </is>
      </c>
      <c r="S929" t="inlineStr">
        <is>
          <t>IBRX Breaks Above This Key Resistance — Stock On Track To Record Best Single-Day Gains In 6 Months - Yahoo Finance</t>
        </is>
      </c>
      <c r="T92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29" t="inlineStr">
        <is>
          <t>Stock Market Today, Oct. 21: Space Exploration Technologies Surges on Q3 Earnings Beat - Yahoo Finance</t>
        </is>
      </c>
      <c r="V92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29" t="inlineStr">
        <is>
          <t>Dow outperforms as Wall Street rises, healthcare stocks lead gains - Reuters</t>
        </is>
      </c>
      <c r="X929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9" t="inlineStr">
        <is>
          <t>Dow Adds 12, Nasdaq Tumbles 694, S&amp;P 500 Falls 94 - TV News Check</t>
        </is>
      </c>
      <c r="Z92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9" t="inlineStr">
        <is>
          <t>Dow jumps 500 points as earnings optimism steadies market: Live updates - CNBC</t>
        </is>
      </c>
      <c r="AB92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29" t="inlineStr">
        <is>
          <t>Trump announces 100% tariff on Chinese imports, after stock market sell-off - ABC7 Chicago</t>
        </is>
      </c>
      <c r="AD929" t="inlineStr">
        <is>
          <t>https://news.google.com/rss/articles/CBMiuhVBVV95cUxPd3VrUWdheEpLUldIY0JjSEhBVE5iZWxFdGRmUnBENjZRQnZjdHcydWNKamJ0aVUzRW1pblRNbm05b3Nrdzh5WW94bEhiOHNJeHZCTjFhMDdYeXIyZFRTZzhPSlJHY2N4ZERvWXd6eExPMmFEUzhSb0FlZ19UOVF5M3EtNGJxQy1KT21MM3B4ZkNKSzJJSjRHYTluNzFFMU5DR19mV0xJbzQ0Wmw4V1U1NFd4UjJHWXFnRjFWLU1rV0dZWmVuZHFPbWtMYkpGbEtiSkJvZFVOdGRCR2hsM2V5MDQ1eldSRkthdl82THVtYzI3WmRmR05VVFNJTWxBaG1qbjRzMnZtQS1HRzBDd0loWGxud0lUZXhVQ2h0d3ktWWhrNE1YZTY3SlliNUxCZk9qNE8xMGM1cHlvb3J1M2szenZEZWlKaV9hMElLUEhKVl9IWFRxUFNCVC1aWGUydEFlb2RBSjNNM05MRElsZjZLc2RENEJYRnNHRWFfQ3pVNFZDcUF5bC1wUjJrSDQzSGtVaG1fNlRUYzlZSmU4RUtNcEg2SWwyMXZCZG84WUZuX3hseEVuRU1tWGgwaEdWQlNLejRFRDZnZHlMcEEwZkU1clA0ZHdRYS1scU0xZE5iSUw5UmtRNUttalpMc1BwbnlNMERrSlhuNGVuUE9KZWNpVmduS3JnWE1rQ2NLdG1iV1VtLTBtR0trOE1DRXdBNjBfRzIwTkh6Y2lNTUdvc09qbmVhU0VrWjF4N2pLMnhfWDJPTi1IalVfaWVoYzdoN2VqRkItRG81UXp6NlNjNFFBUGZaN21WY2ZZOERpR2FVSXZQNzVVSDFoTXNoVzR2VHhxZGJ6YTBDT1cyaWNEYWZvTXZBV2Z4eElIc0JuTkdvWUVxeERmcFdHbS1XVHFUdDk2WXg4Q3F0MkN2MVFvSFFzVl9TTTk1TU5GRmVHeGhCUU5aMnBEbGZ4ZWhMamFjbEcyb2ZaVzRPQ1ZZVjJ4SU53bXhxUWhPY0w2ZFQwRFdtOTZfQ05lUWRqZ1RRTmg4U1RqR3lJRGhVelQwSU9ySWFlSFhTX3pfempNZDM5WnlRd3NzTlBibkI4eEpfblpqM05uTmJQdE5mcFIwYUxoamRQem5RY1NWYzhzbUZDM3ZHN3lXR3dKa0lZMnRNM0hsbkw2RWlLRmRsYnJoUmRJTzZwbnJzTURTVkJnZVd1SkRnU1hrV041MUY3bEw0b2ZSMDZLbnpLV2ljTF9vM0tQdXpFQVJIUWd4aUlxRTVHSTI2ZWhya3Aybllpb3l1S3JJVENzd3hvTEtwb0ZIVmtOUWdaMEVwb0lOLU9raXB4QXFDNmVJZzZaeFdGNWpWUzRSVGVqNk4zSTM4Q2hUUkJncVJvUkdUZWpFMTFkeHBtTFZKellHWDNqZEQxSXNPSHVnV3VRZERfS3ZmWUprRGNOSlFScjVlVzdrdEFqLW9SaDlYbldjenE1X1FVTGI4X2pZOWY5ejVpRnVwQXZ5ZFlBY0NOM0hzQXFhaDRrOTdyeWVFMDdhVFJSaDFYQ1Y1YVN0TWlvUXBtX1B2ZmMtU21RZEZWbUJpQUhuZnFwTFlQRFRqb2MzOTlCdDRvVWpBNG9SeGxyMXdIdmxNNFZMSTc0aVJQdjc2SUczaWR2R2kxMWxkZWpGaFRZaTJoemRWb3d4NXpicXUzWE16N3NRVURXLUhXQ25LRzMxWDh6RGpCclpZY3lzWmtreU14akkyQ3pXQmVleUdDU00xME9FOWZKLXpSN2dxWDRaLWdoTnBTWFBKMHRQZGJza3FZTGZWY0t0a0M1Q1B1N1lzWkEtQW9nZGYyY0lzWlVQckhEMlRiSU9vZkp1ZTBETFk5NEU2Z0ZaUTJYOV9lTFdHSlo3aDFDVW81QXhxN2cyZ0JTbHZDTVZPY1RNVk9ERmNyTWVZZkJFSTZsQW1iQ2ZJSXpXUU1xalZ1TWVmY3JUX3VkclIzZVRYSTE5dEltNS1TOVNvNHpiTm4xREhnZi1ZRzR0a0ZHMGVZcnNleFBKTTBxUGpTM0xsU0FKeUxBRHVZb3hJajY1ZW9sbTY1VmlKV3ViZi1RWF9CWEJhMzJMUHNaU041MWZhaE05UjhrSzBxNHZfU29BMmxzWkxUWGRXLU1qSWR1aE9ma2dhT0E4NFptUU50ZENSVnYtdkFWNU54YWc0dExvb1JQcXlweFdWZXNjdEt5bW4tZzBMSnVoWHctbFdQbUZ4MHZ6aXFwSEJMNGpGdlJLcTNJb1Q4aExpamFWSlB2QWZSOC1LV0NhTzNySVB2RUwyR1FiamR3ZlZLMnVsNWFUZHVzWUUtMS1NNGt3a0tsbG9MZkNuRGxxSFV3NEU1bG5RcGhhOEZzVzdranB1NzA2VGhabjlscjhzMC1WSWhXTGlSNkRhLXJCSUpaR1o3anREZkdSQUt6SDVxazhNQ09pVTFyOVpiRTRxd1RRMXlrV29mR3NNTlVGYnQ3NjdZZlJIaE53aWZNSkJuYkFLZTlZSGVFYURwQjZaZ2Qzb0NVMjlJVEt3TjRWQm9pd1duWXlwbW1KM0sxbGV5RnBkTU92V0YxeVhWRmJpVVlNamZ6WHZiekczS2hUbmVpbTN5YmdlUU8wVXgtVVRjNTlDMm5GOUhUeVdxdy1vUEtYWnd4M1liU1lOTVplcXZVT0FQTjEwNGN0SkR1aGZVdVJjeE1FMnVNcEJxeGxKTnFsSVRwdmNnY0p6eS1kek9rVjJaaTFoRHM3RkgwM3hZZUd0YWhVcktfeXZsYzZnQlpRWDMtenV1eFJZUHhoUUxsMnAwMkYxRU54QXMxYmhpeGNUUGdkbU80ZDRMSzlnQ2tJWjhVMnlISWZhSkhTRkc4dk5zdjEteXVuaEtFN19ORHZTdHk5ak1mOE4tVDVyWG9wZ3JSc1JPM09wVEZ5THRPN1hxeTlNVmJmdHM2Q0QtTlpCZV85VkJCelZvbE5mb2xoUU5ZMUxSOVVYckFMcFJTZE44U2ZVY0s0ekpxemxLUjNJczJNMU5UTWNORVpWV1BieVZHSTBTWUdfLVNoWmhfZTJhX0dSczJsZDlINEd5WHI5RklZbjV3MnBGR2RpV242Q2tKQ0w1VkJmZ1pfY2NEeGFrVDJPZ2VITkMyT21kSGZ0QllXSFlJczc2eGNRdVdpX19iU2lzYjRpVVZkcTI0NXFkOVg4UEVMbXR5aVlrY2VfT1QweUl1TXBHNFlNQUR6OGM1MzFfMmFlamxhV2thRlc3MWRsbElMbG9ZRXlVV0l6ZnBXMktUcHVmNXhlRHVTekI3eFUxaXZlVEVIRWt4SjdFRE10dmVSbFNKYTlsa3gyQXlHT1l2clJmMVUtT2M4WkRUYW5aUUtKV1ZOb2dyaEs0TTZnSHhxdEpiVTA4cG1HZWF3aEE2YVRnUS1hYzNma0dieW1YMjgzamRDRV80ZUdMWTJDcDRBOGxZQlUtUmQxSjc4ZmR1eVIweU5TWmVnQmVZUHB2ZGJCOEF5VUhXYy1Sd0N5S0Z4d3I4UEFVS05zZU5yLV9QVW5XRG80akh1Yk9ncy1QN1NuNVZEMHBvN2hvTUtZV2pNMERDaUhCbmNqVjhKYm5pLTJuQ2VBVGp2TWxVS1lQYXZWYTRYVDVWeWd6Qm9SU0J3Qnk0b0RwSS1n?oc=5</t>
        </is>
      </c>
    </row>
    <row r="930">
      <c r="A930" t="inlineStr">
        <is>
          <t>2026-10-23T16:38:08+00:00</t>
        </is>
      </c>
      <c r="B930" t="inlineStr">
        <is>
          <t>2026-10-23</t>
        </is>
      </c>
      <c r="C930" t="inlineStr">
        <is>
          <t>Nasdaq</t>
        </is>
      </c>
      <c r="D930" t="inlineStr">
        <is>
          <t>NQ=F</t>
        </is>
      </c>
      <c r="E930" t="n">
        <v>29050</v>
      </c>
      <c r="F930" t="n">
        <v>29326</v>
      </c>
      <c r="G930" t="n">
        <v>28987</v>
      </c>
      <c r="H930" t="n">
        <v>29214</v>
      </c>
      <c r="I930" t="n">
        <v>323560</v>
      </c>
      <c r="J930" t="n">
        <v>4</v>
      </c>
      <c r="K930" t="n">
        <v>38</v>
      </c>
      <c r="L930" t="n">
        <v>-0.117</v>
      </c>
      <c r="M930" t="n">
        <v>0.11</v>
      </c>
      <c r="N930" t="n">
        <v>34</v>
      </c>
      <c r="O930" t="n">
        <v>0.12</v>
      </c>
      <c r="P930" t="n">
        <v>0.043</v>
      </c>
      <c r="Q930" t="n">
        <v>1.82</v>
      </c>
      <c r="R930" t="inlineStr">
        <is>
          <t>finbert</t>
        </is>
      </c>
      <c r="S930" t="inlineStr">
        <is>
          <t>A strong profit report from SpaceX helps lift tech stocks and Wall Street - WTOP News</t>
        </is>
      </c>
      <c r="T93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0" t="inlineStr">
        <is>
          <t>Dow outperforms as Wall Street rises, healthcare stocks lead gains - Reuters</t>
        </is>
      </c>
      <c r="V93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0" t="inlineStr">
        <is>
          <t>Nasdaq (NDAQ) Q3 Results Fuel Margin Driven Stock Rally - Yahoo Finance</t>
        </is>
      </c>
      <c r="X930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0" t="inlineStr">
        <is>
          <t>Micron Just Broke Support, So Buy MUU Into Strength (NASDAQ:MU) - Seeking Alpha</t>
        </is>
      </c>
      <c r="Z93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0" t="inlineStr">
        <is>
          <t>Netflix: Sell-Off Creates A Buying Opportunity - Seeking Alpha</t>
        </is>
      </c>
      <c r="AB930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  <c r="AC930" t="inlineStr">
        <is>
          <t>Nasdaq 100 breaks 29,361 support, RSI at 23.5: Live levels - Investing.com</t>
        </is>
      </c>
      <c r="AD93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31">
      <c r="A931" t="inlineStr">
        <is>
          <t>2026-10-23T16:38:08+00:00</t>
        </is>
      </c>
      <c r="B931" t="inlineStr">
        <is>
          <t>2026-10-23</t>
        </is>
      </c>
      <c r="C931" t="inlineStr">
        <is>
          <t>Bitcoin</t>
        </is>
      </c>
      <c r="D931" t="inlineStr">
        <is>
          <t>BTC-USD</t>
        </is>
      </c>
      <c r="E931" t="n">
        <v>81620.8594</v>
      </c>
      <c r="F931" t="n">
        <v>81950.8438</v>
      </c>
      <c r="G931" t="n">
        <v>80995.89840000001</v>
      </c>
      <c r="H931" t="n">
        <v>81655.75</v>
      </c>
      <c r="I931" t="n">
        <v>3239321600</v>
      </c>
      <c r="J931" t="n">
        <v>4</v>
      </c>
      <c r="K931" t="n">
        <v>36</v>
      </c>
      <c r="L931" t="n">
        <v>0.101</v>
      </c>
      <c r="M931" t="n">
        <v>0.041</v>
      </c>
      <c r="N931" t="n">
        <v>37</v>
      </c>
      <c r="O931" t="n">
        <v>0.482</v>
      </c>
      <c r="P931" t="n">
        <v>-0.168</v>
      </c>
      <c r="Q931" t="n">
        <v>10.236</v>
      </c>
      <c r="R931" t="inlineStr">
        <is>
          <t>finbert</t>
        </is>
      </c>
      <c r="S931" t="inlineStr">
        <is>
          <t>Bitcoin Surges 40% In Its Best Quarter Since Late 2024 - Bitcoin Magazine</t>
        </is>
      </c>
      <c r="T93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1" t="inlineStr">
        <is>
          <t>Bitcoin surges 22% for the week as investor optimism floods back - CNBC</t>
        </is>
      </c>
      <c r="V9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1" t="inlineStr">
        <is>
          <t>Bitcoin Price Prediction: Rally Poised to Continue as BTC ETFs Bag $1 Billion - Yahoo Finance</t>
        </is>
      </c>
      <c r="X93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1" t="inlineStr">
        <is>
          <t>Bitcoin (BTC) price recovers to $81,700 as memecoins lead altcoin rebound - CoinDesk</t>
        </is>
      </c>
      <c r="Z931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1" t="inlineStr">
        <is>
          <t>Today's Crypto News: Bitcoin, Ether and Altcoin Insights - Investing News Network</t>
        </is>
      </c>
      <c r="AB93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1" t="inlineStr">
        <is>
          <t>Bitcoin Was at $81,569 at 2:21 a.m. ET (06:21 UTC) After $431 Million in Liquidations - TOKENPOST</t>
        </is>
      </c>
      <c r="AD931" t="inlineStr">
        <is>
          <t>https://news.google.com/rss/articles/CBMiWkFVX3lxTE5acTZvN1c0VjBmaUdjSUpsM3U0eTMxTzVEUWJZSFczNDhFdUNDN3NXUWlHUEdGZlkxWWs3NFJ1TnRFRlNleE1FcW8zd29WUVg5eV94akp6Z1FGZw?oc=5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2026-10-20</t>
        </is>
      </c>
      <c r="B38" t="inlineStr">
        <is>
          <t>Bitcoin</t>
        </is>
      </c>
      <c r="C38" t="n">
        <v>153</v>
      </c>
      <c r="D38" t="n">
        <v>136</v>
      </c>
      <c r="E38" t="n">
        <v>16.429</v>
      </c>
      <c r="F38">
        <f>IF(B37=B38, IFERROR((E38-E37)/ABS(E37), "n/a"), "")</f>
        <v/>
      </c>
      <c r="G38" t="n">
        <v>82188.1894</v>
      </c>
    </row>
    <row r="39">
      <c r="A39" t="inlineStr">
        <is>
          <t>2026-10-21</t>
        </is>
      </c>
      <c r="B39" t="inlineStr">
        <is>
          <t>Bitcoin</t>
        </is>
      </c>
      <c r="C39" t="n">
        <v>154</v>
      </c>
      <c r="D39" t="n">
        <v>139</v>
      </c>
      <c r="E39" t="n">
        <v>13.456</v>
      </c>
      <c r="F39">
        <f>IF(B38=B39, IFERROR((E39-E38)/ABS(E38), "n/a"), "")</f>
        <v/>
      </c>
      <c r="G39" t="n">
        <v>83745.0469</v>
      </c>
    </row>
    <row r="40">
      <c r="A40" t="inlineStr">
        <is>
          <t>2026-10-22</t>
        </is>
      </c>
      <c r="B40" t="inlineStr">
        <is>
          <t>Bitcoin</t>
        </is>
      </c>
      <c r="C40" t="n">
        <v>152</v>
      </c>
      <c r="D40" t="n">
        <v>138</v>
      </c>
      <c r="E40" t="n">
        <v>11.806</v>
      </c>
      <c r="F40">
        <f>IF(B39=B40, IFERROR((E40-E39)/ABS(E39), "n/a"), "")</f>
        <v/>
      </c>
      <c r="G40" t="n">
        <v>81725.3125</v>
      </c>
    </row>
    <row r="41">
      <c r="A41" t="inlineStr">
        <is>
          <t>2026-09-14</t>
        </is>
      </c>
      <c r="B41" t="inlineStr">
        <is>
          <t>Gold</t>
        </is>
      </c>
      <c r="C41" t="n">
        <v>234</v>
      </c>
      <c r="D41" t="n">
        <v>240</v>
      </c>
      <c r="E41" t="n">
        <v>-0.5659999999999999</v>
      </c>
      <c r="F41">
        <f>IF(B40=B41, IFERROR((E41-E40)/ABS(E40), "n/a"), "")</f>
        <v/>
      </c>
      <c r="G41" t="n">
        <v>4344.16</v>
      </c>
    </row>
    <row r="42">
      <c r="A42" t="inlineStr">
        <is>
          <t>2026-09-15</t>
        </is>
      </c>
      <c r="B42" t="inlineStr">
        <is>
          <t>Gold</t>
        </is>
      </c>
      <c r="C42" t="n">
        <v>158</v>
      </c>
      <c r="D42" t="n">
        <v>160</v>
      </c>
      <c r="E42" t="n">
        <v>0.9360000000000001</v>
      </c>
      <c r="F42">
        <f>IF(B41=B42, IFERROR((E42-E41)/ABS(E41), "n/a"), "")</f>
        <v/>
      </c>
      <c r="G42" t="n">
        <v>4330.35</v>
      </c>
    </row>
    <row r="43">
      <c r="A43" t="inlineStr">
        <is>
          <t>2026-09-16</t>
        </is>
      </c>
      <c r="B43" t="inlineStr">
        <is>
          <t>Gold</t>
        </is>
      </c>
      <c r="C43" t="n">
        <v>156</v>
      </c>
      <c r="D43" t="n">
        <v>160</v>
      </c>
      <c r="E43" t="n">
        <v>-1.849</v>
      </c>
      <c r="F43">
        <f>IF(B42=B43, IFERROR((E43-E42)/ABS(E42), "n/a"), "")</f>
        <v/>
      </c>
      <c r="G43" t="n">
        <v>4379.0751</v>
      </c>
    </row>
    <row r="44">
      <c r="A44" t="inlineStr">
        <is>
          <t>2026-09-17</t>
        </is>
      </c>
      <c r="B44" t="inlineStr">
        <is>
          <t>Gold</t>
        </is>
      </c>
      <c r="C44" t="n">
        <v>157</v>
      </c>
      <c r="D44" t="n">
        <v>160</v>
      </c>
      <c r="E44" t="n">
        <v>-1.002</v>
      </c>
      <c r="F44">
        <f>IF(B43=B44, IFERROR((E44-E43)/ABS(E43), "n/a"), "")</f>
        <v/>
      </c>
      <c r="G44" t="n">
        <v>4369.6499</v>
      </c>
    </row>
    <row r="45">
      <c r="A45" t="inlineStr">
        <is>
          <t>2026-09-18</t>
        </is>
      </c>
      <c r="B45" t="inlineStr">
        <is>
          <t>Gold</t>
        </is>
      </c>
      <c r="C45" t="n">
        <v>158</v>
      </c>
      <c r="D45" t="n">
        <v>152</v>
      </c>
      <c r="E45" t="n">
        <v>0.025</v>
      </c>
      <c r="F45">
        <f>IF(B44=B45, IFERROR((E45-E44)/ABS(E44), "n/a"), "")</f>
        <v/>
      </c>
      <c r="G45" t="n">
        <v>4406.44</v>
      </c>
    </row>
    <row r="46">
      <c r="A46" t="inlineStr">
        <is>
          <t>2026-09-19</t>
        </is>
      </c>
      <c r="B46" t="inlineStr">
        <is>
          <t>Gold</t>
        </is>
      </c>
      <c r="C46" t="n">
        <v>199</v>
      </c>
      <c r="D46" t="n">
        <v>200</v>
      </c>
      <c r="E46" t="n">
        <v>0.844</v>
      </c>
      <c r="F46">
        <f>IF(B45=B46, IFERROR((E46-E45)/ABS(E45), "n/a"), "")</f>
        <v/>
      </c>
      <c r="G46" t="n">
        <v>4423.0999</v>
      </c>
    </row>
    <row r="47">
      <c r="A47" t="inlineStr">
        <is>
          <t>2026-09-20</t>
        </is>
      </c>
      <c r="B47" t="inlineStr">
        <is>
          <t>Gold</t>
        </is>
      </c>
      <c r="C47" t="n">
        <v>196</v>
      </c>
      <c r="D47" t="n">
        <v>200</v>
      </c>
      <c r="E47" t="n">
        <v>0.295</v>
      </c>
      <c r="F47">
        <f>IF(B46=B47, IFERROR((E47-E46)/ABS(E46), "n/a"), "")</f>
        <v/>
      </c>
      <c r="G47" t="n">
        <v>4439.6199</v>
      </c>
    </row>
    <row r="48">
      <c r="A48" t="inlineStr">
        <is>
          <t>2026-09-21</t>
        </is>
      </c>
      <c r="B48" t="inlineStr">
        <is>
          <t>Gold</t>
        </is>
      </c>
      <c r="C48" t="n">
        <v>157</v>
      </c>
      <c r="D48" t="n">
        <v>160</v>
      </c>
      <c r="E48" t="n">
        <v>2.682</v>
      </c>
      <c r="F48">
        <f>IF(B47=B48, IFERROR((E48-E47)/ABS(E47), "n/a"), "")</f>
        <v/>
      </c>
      <c r="G48" t="n">
        <v>4391.025</v>
      </c>
    </row>
    <row r="49">
      <c r="A49" t="inlineStr">
        <is>
          <t>2026-09-22</t>
        </is>
      </c>
      <c r="B49" t="inlineStr">
        <is>
          <t>Gold</t>
        </is>
      </c>
      <c r="C49" t="n">
        <v>158</v>
      </c>
      <c r="D49" t="n">
        <v>160</v>
      </c>
      <c r="E49" t="n">
        <v>3.15</v>
      </c>
      <c r="F49">
        <f>IF(B48=B49, IFERROR((E49-E48)/ABS(E48), "n/a"), "")</f>
        <v/>
      </c>
      <c r="G49" t="n">
        <v>4391.3002</v>
      </c>
    </row>
    <row r="50">
      <c r="A50" t="inlineStr">
        <is>
          <t>2026-09-23</t>
        </is>
      </c>
      <c r="B50" t="inlineStr">
        <is>
          <t>Gold</t>
        </is>
      </c>
      <c r="C50" t="n">
        <v>157</v>
      </c>
      <c r="D50" t="n">
        <v>160</v>
      </c>
      <c r="E50" t="n">
        <v>0.364</v>
      </c>
      <c r="F50">
        <f>IF(B49=B50, IFERROR((E50-E49)/ABS(E49), "n/a"), "")</f>
        <v/>
      </c>
      <c r="G50" t="n">
        <v>4344.4</v>
      </c>
    </row>
    <row r="51">
      <c r="A51" t="inlineStr">
        <is>
          <t>2026-09-24</t>
        </is>
      </c>
      <c r="B51" t="inlineStr">
        <is>
          <t>Gold</t>
        </is>
      </c>
      <c r="C51" t="n">
        <v>156</v>
      </c>
      <c r="D51" t="n">
        <v>160</v>
      </c>
      <c r="E51" t="n">
        <v>-1.03</v>
      </c>
      <c r="F51">
        <f>IF(B50=B51, IFERROR((E51-E50)/ABS(E50), "n/a"), "")</f>
        <v/>
      </c>
      <c r="G51" t="n">
        <v>4309.5</v>
      </c>
    </row>
    <row r="52">
      <c r="A52" t="inlineStr">
        <is>
          <t>2026-09-25</t>
        </is>
      </c>
      <c r="B52" t="inlineStr">
        <is>
          <t>Gold</t>
        </is>
      </c>
      <c r="C52" t="n">
        <v>197</v>
      </c>
      <c r="D52" t="n">
        <v>200</v>
      </c>
      <c r="E52" t="n">
        <v>-2.692</v>
      </c>
      <c r="F52">
        <f>IF(B51=B52, IFERROR((E52-E51)/ABS(E51), "n/a"), "")</f>
        <v/>
      </c>
      <c r="G52" t="n">
        <v>4319.64</v>
      </c>
    </row>
    <row r="53">
      <c r="A53" t="inlineStr">
        <is>
          <t>2026-09-26</t>
        </is>
      </c>
      <c r="B53" t="inlineStr">
        <is>
          <t>Gold</t>
        </is>
      </c>
      <c r="C53" t="n">
        <v>195</v>
      </c>
      <c r="D53" t="n">
        <v>200</v>
      </c>
      <c r="E53" t="n">
        <v>-3.94</v>
      </c>
      <c r="F53">
        <f>IF(B52=B53, IFERROR((E53-E52)/ABS(E52), "n/a"), "")</f>
        <v/>
      </c>
      <c r="G53" t="n">
        <v>4321.0602</v>
      </c>
    </row>
    <row r="54">
      <c r="A54" t="inlineStr">
        <is>
          <t>2026-09-27</t>
        </is>
      </c>
      <c r="B54" t="inlineStr">
        <is>
          <t>Gold</t>
        </is>
      </c>
      <c r="C54" t="n">
        <v>156</v>
      </c>
      <c r="D54" t="n">
        <v>160</v>
      </c>
      <c r="E54" t="n">
        <v>-1.662</v>
      </c>
      <c r="F54">
        <f>IF(B53=B54, IFERROR((E54-E53)/ABS(E53), "n/a"), "")</f>
        <v/>
      </c>
      <c r="G54" t="n">
        <v>4315.1502</v>
      </c>
    </row>
    <row r="55">
      <c r="A55" t="inlineStr">
        <is>
          <t>2026-09-28</t>
        </is>
      </c>
      <c r="B55" t="inlineStr">
        <is>
          <t>Gold</t>
        </is>
      </c>
      <c r="C55" t="n">
        <v>79</v>
      </c>
      <c r="D55" t="n">
        <v>80</v>
      </c>
      <c r="E55" t="n">
        <v>1.23</v>
      </c>
      <c r="F55">
        <f>IF(B54=B55, IFERROR((E55-E54)/ABS(E54), "n/a"), "")</f>
        <v/>
      </c>
      <c r="G55" t="n">
        <v>4209.6499</v>
      </c>
    </row>
    <row r="56">
      <c r="A56" t="inlineStr">
        <is>
          <t>2026-09-29</t>
        </is>
      </c>
      <c r="B56" t="inlineStr">
        <is>
          <t>Gold</t>
        </is>
      </c>
      <c r="C56" t="n">
        <v>156</v>
      </c>
      <c r="D56" t="n">
        <v>160</v>
      </c>
      <c r="E56" t="n">
        <v>0.95</v>
      </c>
      <c r="F56">
        <f>IF(B55=B56, IFERROR((E56-E55)/ABS(E55), "n/a"), "")</f>
        <v/>
      </c>
      <c r="G56" t="n">
        <v>4181.8999</v>
      </c>
    </row>
    <row r="57">
      <c r="A57" t="inlineStr">
        <is>
          <t>2026-09-30</t>
        </is>
      </c>
      <c r="B57" t="inlineStr">
        <is>
          <t>Gold</t>
        </is>
      </c>
      <c r="C57" t="n">
        <v>118</v>
      </c>
      <c r="D57" t="n">
        <v>120</v>
      </c>
      <c r="E57" t="n">
        <v>-1.407</v>
      </c>
      <c r="F57">
        <f>IF(B56=B57, IFERROR((E57-E56)/ABS(E56), "n/a"), "")</f>
        <v/>
      </c>
      <c r="G57" t="n">
        <v>4199.1667</v>
      </c>
    </row>
    <row r="58">
      <c r="A58" t="inlineStr">
        <is>
          <t>2026-10-01</t>
        </is>
      </c>
      <c r="B58" t="inlineStr">
        <is>
          <t>Gold</t>
        </is>
      </c>
      <c r="C58" t="n">
        <v>118</v>
      </c>
      <c r="D58" t="n">
        <v>120</v>
      </c>
      <c r="E58" t="n">
        <v>-2.252</v>
      </c>
      <c r="F58">
        <f>IF(B57=B58, IFERROR((E58-E57)/ABS(E57), "n/a"), "")</f>
        <v/>
      </c>
      <c r="G58" t="n">
        <v>4197</v>
      </c>
    </row>
    <row r="59">
      <c r="A59" t="inlineStr">
        <is>
          <t>2026-10-02</t>
        </is>
      </c>
      <c r="B59" t="inlineStr">
        <is>
          <t>Gold</t>
        </is>
      </c>
      <c r="C59" t="n">
        <v>118</v>
      </c>
      <c r="D59" t="n">
        <v>120</v>
      </c>
      <c r="E59" t="n">
        <v>-1.761</v>
      </c>
      <c r="F59">
        <f>IF(B58=B59, IFERROR((E59-E58)/ABS(E58), "n/a"), "")</f>
        <v/>
      </c>
      <c r="G59" t="n">
        <v>4200.6667</v>
      </c>
    </row>
    <row r="60">
      <c r="A60" t="inlineStr">
        <is>
          <t>2026-10-03</t>
        </is>
      </c>
      <c r="B60" t="inlineStr">
        <is>
          <t>Gold</t>
        </is>
      </c>
      <c r="C60" t="n">
        <v>156</v>
      </c>
      <c r="D60" t="n">
        <v>160</v>
      </c>
      <c r="E60" t="n">
        <v>0.602</v>
      </c>
      <c r="F60">
        <f>IF(B59=B60, IFERROR((E60-E59)/ABS(E59), "n/a"), "")</f>
        <v/>
      </c>
      <c r="G60" t="n">
        <v>4164.7499</v>
      </c>
    </row>
    <row r="61">
      <c r="A61" t="inlineStr">
        <is>
          <t>2026-10-04</t>
        </is>
      </c>
      <c r="B61" t="inlineStr">
        <is>
          <t>Gold</t>
        </is>
      </c>
      <c r="C61" t="n">
        <v>157</v>
      </c>
      <c r="D61" t="n">
        <v>160</v>
      </c>
      <c r="E61" t="n">
        <v>2.126</v>
      </c>
      <c r="F61">
        <f>IF(B60=B61, IFERROR((E61-E60)/ABS(E60), "n/a"), "")</f>
        <v/>
      </c>
      <c r="G61" t="n">
        <v>4164.4248</v>
      </c>
    </row>
    <row r="62">
      <c r="A62" t="inlineStr">
        <is>
          <t>2026-10-05</t>
        </is>
      </c>
      <c r="B62" t="inlineStr">
        <is>
          <t>Gold</t>
        </is>
      </c>
      <c r="C62" t="n">
        <v>78</v>
      </c>
      <c r="D62" t="n">
        <v>80</v>
      </c>
      <c r="E62" t="n">
        <v>1.296</v>
      </c>
      <c r="F62">
        <f>IF(B61=B62, IFERROR((E62-E61)/ABS(E61), "n/a"), "")</f>
        <v/>
      </c>
      <c r="G62" t="n">
        <v>4158.9001</v>
      </c>
    </row>
    <row r="63">
      <c r="A63" t="inlineStr">
        <is>
          <t>2026-10-06</t>
        </is>
      </c>
      <c r="B63" t="inlineStr">
        <is>
          <t>Gold</t>
        </is>
      </c>
      <c r="C63" t="n">
        <v>159</v>
      </c>
      <c r="D63" t="n">
        <v>160</v>
      </c>
      <c r="E63" t="n">
        <v>3.093</v>
      </c>
      <c r="F63">
        <f>IF(B62=B63, IFERROR((E63-E62)/ABS(E62), "n/a"), "")</f>
        <v/>
      </c>
      <c r="G63" t="n">
        <v>4188.65</v>
      </c>
    </row>
    <row r="64">
      <c r="A64" t="inlineStr">
        <is>
          <t>2026-10-07</t>
        </is>
      </c>
      <c r="B64" t="inlineStr">
        <is>
          <t>Gold</t>
        </is>
      </c>
      <c r="C64" t="n">
        <v>80</v>
      </c>
      <c r="D64" t="n">
        <v>80</v>
      </c>
      <c r="E64" t="n">
        <v>7.024</v>
      </c>
      <c r="F64">
        <f>IF(B63=B64, IFERROR((E64-E63)/ABS(E63), "n/a"), "")</f>
        <v/>
      </c>
      <c r="G64" t="n">
        <v>4149.1499</v>
      </c>
    </row>
    <row r="65">
      <c r="A65" t="inlineStr">
        <is>
          <t>2026-10-08</t>
        </is>
      </c>
      <c r="B65" t="inlineStr">
        <is>
          <t>Gold</t>
        </is>
      </c>
      <c r="C65" t="n">
        <v>120</v>
      </c>
      <c r="D65" t="n">
        <v>120</v>
      </c>
      <c r="E65" t="n">
        <v>4.406</v>
      </c>
      <c r="F65">
        <f>IF(B64=B65, IFERROR((E65-E64)/ABS(E64), "n/a"), "")</f>
        <v/>
      </c>
      <c r="G65" t="n">
        <v>4153.2</v>
      </c>
    </row>
    <row r="66">
      <c r="A66" t="inlineStr">
        <is>
          <t>2026-10-09</t>
        </is>
      </c>
      <c r="B66" t="inlineStr">
        <is>
          <t>Gold</t>
        </is>
      </c>
      <c r="C66" t="n">
        <v>120</v>
      </c>
      <c r="D66" t="n">
        <v>120</v>
      </c>
      <c r="E66" t="n">
        <v>3.455</v>
      </c>
      <c r="F66">
        <f>IF(B65=B66, IFERROR((E66-E65)/ABS(E65), "n/a"), "")</f>
        <v/>
      </c>
      <c r="G66" t="n">
        <v>4210.3999</v>
      </c>
    </row>
    <row r="67">
      <c r="A67" t="inlineStr">
        <is>
          <t>2026-10-10</t>
        </is>
      </c>
      <c r="B67" t="inlineStr">
        <is>
          <t>Gold</t>
        </is>
      </c>
      <c r="C67" t="n">
        <v>160</v>
      </c>
      <c r="D67" t="n">
        <v>160</v>
      </c>
      <c r="E67" t="n">
        <v>4.276</v>
      </c>
      <c r="F67">
        <f>IF(B66=B67, IFERROR((E67-E66)/ABS(E66), "n/a"), "")</f>
        <v/>
      </c>
      <c r="G67" t="n">
        <v>4217.2998</v>
      </c>
    </row>
    <row r="68">
      <c r="A68" t="inlineStr">
        <is>
          <t>2026-10-11</t>
        </is>
      </c>
      <c r="B68" t="inlineStr">
        <is>
          <t>Gold</t>
        </is>
      </c>
      <c r="C68" t="n">
        <v>160</v>
      </c>
      <c r="D68" t="n">
        <v>160</v>
      </c>
      <c r="E68" t="n">
        <v>3.786</v>
      </c>
      <c r="F68">
        <f>IF(B67=B68, IFERROR((E68-E67)/ABS(E67), "n/a"), "")</f>
        <v/>
      </c>
      <c r="G68" t="n">
        <v>4233.7248</v>
      </c>
    </row>
    <row r="69">
      <c r="A69" t="inlineStr">
        <is>
          <t>2026-10-12</t>
        </is>
      </c>
      <c r="B69" t="inlineStr">
        <is>
          <t>Gold</t>
        </is>
      </c>
      <c r="C69" t="n">
        <v>80</v>
      </c>
      <c r="D69" t="n">
        <v>80</v>
      </c>
      <c r="E69" t="n">
        <v>2.987</v>
      </c>
      <c r="F69">
        <f>IF(B68=B69, IFERROR((E69-E68)/ABS(E68), "n/a"), "")</f>
        <v/>
      </c>
      <c r="G69" t="n">
        <v>4206.25</v>
      </c>
    </row>
    <row r="70">
      <c r="A70" t="inlineStr">
        <is>
          <t>2026-10-13</t>
        </is>
      </c>
      <c r="B70" t="inlineStr">
        <is>
          <t>Gold</t>
        </is>
      </c>
      <c r="C70" t="n">
        <v>160</v>
      </c>
      <c r="D70" t="n">
        <v>160</v>
      </c>
      <c r="E70" t="n">
        <v>3.275</v>
      </c>
      <c r="F70">
        <f>IF(B69=B70, IFERROR((E70-E69)/ABS(E69), "n/a"), "")</f>
        <v/>
      </c>
      <c r="G70" t="n">
        <v>4188.2001</v>
      </c>
    </row>
    <row r="71">
      <c r="A71" t="inlineStr">
        <is>
          <t>2026-10-14</t>
        </is>
      </c>
      <c r="B71" t="inlineStr">
        <is>
          <t>Gold</t>
        </is>
      </c>
      <c r="C71" t="n">
        <v>160</v>
      </c>
      <c r="D71" t="n">
        <v>160</v>
      </c>
      <c r="E71" t="n">
        <v>3.842</v>
      </c>
      <c r="F71">
        <f>IF(B70=B71, IFERROR((E71-E70)/ABS(E70), "n/a"), "")</f>
        <v/>
      </c>
      <c r="G71" t="n">
        <v>4145.5499</v>
      </c>
    </row>
    <row r="72">
      <c r="A72" t="inlineStr">
        <is>
          <t>2026-10-15</t>
        </is>
      </c>
      <c r="B72" t="inlineStr">
        <is>
          <t>Gold</t>
        </is>
      </c>
      <c r="C72" t="n">
        <v>159</v>
      </c>
      <c r="D72" t="n">
        <v>160</v>
      </c>
      <c r="E72" t="n">
        <v>1.63</v>
      </c>
      <c r="F72">
        <f>IF(B71=B72, IFERROR((E72-E71)/ABS(E71), "n/a"), "")</f>
        <v/>
      </c>
      <c r="G72" t="n">
        <v>4174.7001</v>
      </c>
    </row>
    <row r="73">
      <c r="A73" t="inlineStr">
        <is>
          <t>2026-10-16</t>
        </is>
      </c>
      <c r="B73" t="inlineStr">
        <is>
          <t>Gold</t>
        </is>
      </c>
      <c r="C73" t="n">
        <v>158</v>
      </c>
      <c r="D73" t="n">
        <v>160</v>
      </c>
      <c r="E73" t="n">
        <v>2.479</v>
      </c>
      <c r="F73">
        <f>IF(B72=B73, IFERROR((E73-E72)/ABS(E72), "n/a"), "")</f>
        <v/>
      </c>
      <c r="G73" t="n">
        <v>4192.775</v>
      </c>
    </row>
    <row r="74">
      <c r="A74" t="inlineStr">
        <is>
          <t>2026-10-17</t>
        </is>
      </c>
      <c r="B74" t="inlineStr">
        <is>
          <t>Gold</t>
        </is>
      </c>
      <c r="C74" t="n">
        <v>195</v>
      </c>
      <c r="D74" t="n">
        <v>200</v>
      </c>
      <c r="E74" t="n">
        <v>6.267</v>
      </c>
      <c r="F74">
        <f>IF(B73=B74, IFERROR((E74-E73)/ABS(E73), "n/a"), "")</f>
        <v/>
      </c>
      <c r="G74" t="n">
        <v>4185.5802</v>
      </c>
    </row>
    <row r="75">
      <c r="A75" t="inlineStr">
        <is>
          <t>2026-10-18</t>
        </is>
      </c>
      <c r="B75" t="inlineStr">
        <is>
          <t>Gold</t>
        </is>
      </c>
      <c r="C75" t="n">
        <v>195</v>
      </c>
      <c r="D75" t="n">
        <v>200</v>
      </c>
      <c r="E75" t="n">
        <v>6.259</v>
      </c>
      <c r="F75">
        <f>IF(B74=B75, IFERROR((E75-E74)/ABS(E74), "n/a"), "")</f>
        <v/>
      </c>
      <c r="G75" t="n">
        <v>4194.9001</v>
      </c>
    </row>
    <row r="76">
      <c r="A76" t="inlineStr">
        <is>
          <t>2026-10-19</t>
        </is>
      </c>
      <c r="B76" t="inlineStr">
        <is>
          <t>Gold</t>
        </is>
      </c>
      <c r="C76" t="n">
        <v>154</v>
      </c>
      <c r="D76" t="n">
        <v>160</v>
      </c>
      <c r="E76" t="n">
        <v>3.607</v>
      </c>
      <c r="F76">
        <f>IF(B75=B76, IFERROR((E76-E75)/ABS(E75), "n/a"), "")</f>
        <v/>
      </c>
      <c r="G76" t="n">
        <v>4177.0249</v>
      </c>
    </row>
    <row r="77">
      <c r="A77" t="inlineStr">
        <is>
          <t>2026-10-20</t>
        </is>
      </c>
      <c r="B77" t="inlineStr">
        <is>
          <t>Gold</t>
        </is>
      </c>
      <c r="C77" t="n">
        <v>156</v>
      </c>
      <c r="D77" t="n">
        <v>160</v>
      </c>
      <c r="E77" t="n">
        <v>0.371</v>
      </c>
      <c r="F77">
        <f>IF(B76=B77, IFERROR((E77-E76)/ABS(E76), "n/a"), "")</f>
        <v/>
      </c>
      <c r="G77" t="n">
        <v>4145.9751</v>
      </c>
    </row>
    <row r="78">
      <c r="A78" t="inlineStr">
        <is>
          <t>2026-10-21</t>
        </is>
      </c>
      <c r="B78" t="inlineStr">
        <is>
          <t>Gold</t>
        </is>
      </c>
      <c r="C78" t="n">
        <v>154</v>
      </c>
      <c r="D78" t="n">
        <v>160</v>
      </c>
      <c r="E78" t="n">
        <v>1.791</v>
      </c>
      <c r="F78">
        <f>IF(B77=B78, IFERROR((E78-E77)/ABS(E77), "n/a"), "")</f>
        <v/>
      </c>
      <c r="G78" t="n">
        <v>4143.2998</v>
      </c>
    </row>
    <row r="79">
      <c r="A79" t="inlineStr">
        <is>
          <t>2026-10-22</t>
        </is>
      </c>
      <c r="B79" t="inlineStr">
        <is>
          <t>Gold</t>
        </is>
      </c>
      <c r="C79" t="n">
        <v>158</v>
      </c>
      <c r="D79" t="n">
        <v>160</v>
      </c>
      <c r="E79" t="n">
        <v>4.442</v>
      </c>
      <c r="F79">
        <f>IF(B78=B79, IFERROR((E79-E78)/ABS(E78), "n/a"), "")</f>
        <v/>
      </c>
      <c r="G79" t="n">
        <v>4079.375</v>
      </c>
    </row>
    <row r="80">
      <c r="A80" t="inlineStr">
        <is>
          <t>2026-09-14</t>
        </is>
      </c>
      <c r="B80" t="inlineStr">
        <is>
          <t>Nasdaq</t>
        </is>
      </c>
      <c r="C80" t="n">
        <v>240</v>
      </c>
      <c r="D80" t="n">
        <v>212</v>
      </c>
      <c r="E80" t="n">
        <v>5.507</v>
      </c>
      <c r="F80">
        <f>IF(B79=B80, IFERROR((E80-E79)/ABS(E79), "n/a"), "")</f>
        <v/>
      </c>
      <c r="G80" t="n">
        <v>29143.15</v>
      </c>
    </row>
    <row r="81">
      <c r="A81" t="inlineStr">
        <is>
          <t>2026-09-15</t>
        </is>
      </c>
      <c r="B81" t="inlineStr">
        <is>
          <t>Nasdaq</t>
        </is>
      </c>
      <c r="C81" t="n">
        <v>159</v>
      </c>
      <c r="D81" t="n">
        <v>140</v>
      </c>
      <c r="E81" t="n">
        <v>1.638</v>
      </c>
      <c r="F81">
        <f>IF(B80=B81, IFERROR((E81-E80)/ABS(E80), "n/a"), "")</f>
        <v/>
      </c>
      <c r="G81" t="n">
        <v>29317.0625</v>
      </c>
    </row>
    <row r="82">
      <c r="A82" t="inlineStr">
        <is>
          <t>2026-09-16</t>
        </is>
      </c>
      <c r="B82" t="inlineStr">
        <is>
          <t>Nasdaq</t>
        </is>
      </c>
      <c r="C82" t="n">
        <v>160</v>
      </c>
      <c r="D82" t="n">
        <v>142</v>
      </c>
      <c r="E82" t="n">
        <v>1.225</v>
      </c>
      <c r="F82">
        <f>IF(B81=B82, IFERROR((E82-E81)/ABS(E81), "n/a"), "")</f>
        <v/>
      </c>
      <c r="G82" t="n">
        <v>29371.8125</v>
      </c>
    </row>
    <row r="83">
      <c r="A83" t="inlineStr">
        <is>
          <t>2026-09-17</t>
        </is>
      </c>
      <c r="B83" t="inlineStr">
        <is>
          <t>Nasdaq</t>
        </is>
      </c>
      <c r="C83" t="n">
        <v>158</v>
      </c>
      <c r="D83" t="n">
        <v>147</v>
      </c>
      <c r="E83" t="n">
        <v>-1.626</v>
      </c>
      <c r="F83">
        <f>IF(B82=B83, IFERROR((E83-E82)/ABS(E82), "n/a"), "")</f>
        <v/>
      </c>
      <c r="G83" t="n">
        <v>29614.1875</v>
      </c>
    </row>
    <row r="84">
      <c r="A84" t="inlineStr">
        <is>
          <t>2026-09-18</t>
        </is>
      </c>
      <c r="B84" t="inlineStr">
        <is>
          <t>Nasdaq</t>
        </is>
      </c>
      <c r="C84" t="n">
        <v>151</v>
      </c>
      <c r="D84" t="n">
        <v>151</v>
      </c>
      <c r="E84" t="n">
        <v>-2.282</v>
      </c>
      <c r="F84">
        <f>IF(B83=B84, IFERROR((E84-E83)/ABS(E83), "n/a"), "")</f>
        <v/>
      </c>
      <c r="G84" t="n">
        <v>29828.95</v>
      </c>
    </row>
    <row r="85">
      <c r="A85" t="inlineStr">
        <is>
          <t>2026-09-19</t>
        </is>
      </c>
      <c r="B85" t="inlineStr">
        <is>
          <t>Nasdaq</t>
        </is>
      </c>
      <c r="C85" t="n">
        <v>198</v>
      </c>
      <c r="D85" t="n">
        <v>186</v>
      </c>
      <c r="E85" t="n">
        <v>-2.938</v>
      </c>
      <c r="F85">
        <f>IF(B84=B85, IFERROR((E85-E84)/ABS(E84), "n/a"), "")</f>
        <v/>
      </c>
      <c r="G85" t="n">
        <v>29917.25</v>
      </c>
    </row>
    <row r="86">
      <c r="A86" t="inlineStr">
        <is>
          <t>2026-09-20</t>
        </is>
      </c>
      <c r="B86" t="inlineStr">
        <is>
          <t>Nasdaq</t>
        </is>
      </c>
      <c r="C86" t="n">
        <v>200</v>
      </c>
      <c r="D86" t="n">
        <v>191</v>
      </c>
      <c r="E86" t="n">
        <v>0.022</v>
      </c>
      <c r="F86">
        <f>IF(B85=B86, IFERROR((E86-E85)/ABS(E85), "n/a"), "")</f>
        <v/>
      </c>
      <c r="G86" t="n">
        <v>29917.25</v>
      </c>
    </row>
    <row r="87">
      <c r="A87" t="inlineStr">
        <is>
          <t>2026-09-21</t>
        </is>
      </c>
      <c r="B87" t="inlineStr">
        <is>
          <t>Nasdaq</t>
        </is>
      </c>
      <c r="C87" t="n">
        <v>150</v>
      </c>
      <c r="D87" t="n">
        <v>157</v>
      </c>
      <c r="E87" t="n">
        <v>-3.179</v>
      </c>
      <c r="F87">
        <f>IF(B86=B87, IFERROR((E87-E86)/ABS(E86), "n/a"), "")</f>
        <v/>
      </c>
      <c r="G87" t="n">
        <v>30469.875</v>
      </c>
    </row>
    <row r="88">
      <c r="A88" t="inlineStr">
        <is>
          <t>2026-09-22</t>
        </is>
      </c>
      <c r="B88" t="inlineStr">
        <is>
          <t>Nasdaq</t>
        </is>
      </c>
      <c r="C88" t="n">
        <v>137</v>
      </c>
      <c r="D88" t="n">
        <v>155</v>
      </c>
      <c r="E88" t="n">
        <v>-7.568</v>
      </c>
      <c r="F88">
        <f>IF(B87=B88, IFERROR((E88-E87)/ABS(E87), "n/a"), "")</f>
        <v/>
      </c>
      <c r="G88" t="n">
        <v>30911.625</v>
      </c>
    </row>
    <row r="89">
      <c r="A89" t="inlineStr">
        <is>
          <t>2026-09-23</t>
        </is>
      </c>
      <c r="B89" t="inlineStr">
        <is>
          <t>Nasdaq</t>
        </is>
      </c>
      <c r="C89" t="n">
        <v>140</v>
      </c>
      <c r="D89" t="n">
        <v>150</v>
      </c>
      <c r="E89" t="n">
        <v>-2.077</v>
      </c>
      <c r="F89">
        <f>IF(B88=B89, IFERROR((E89-E88)/ABS(E88), "n/a"), "")</f>
        <v/>
      </c>
      <c r="G89" t="n">
        <v>30888.875</v>
      </c>
    </row>
    <row r="90">
      <c r="A90" t="inlineStr">
        <is>
          <t>2026-09-24</t>
        </is>
      </c>
      <c r="B90" t="inlineStr">
        <is>
          <t>Nasdaq</t>
        </is>
      </c>
      <c r="C90" t="n">
        <v>141</v>
      </c>
      <c r="D90" t="n">
        <v>134</v>
      </c>
      <c r="E90" t="n">
        <v>-0.161</v>
      </c>
      <c r="F90">
        <f>IF(B89=B90, IFERROR((E90-E89)/ABS(E89), "n/a"), "")</f>
        <v/>
      </c>
      <c r="G90" t="n">
        <v>30631.875</v>
      </c>
    </row>
    <row r="91">
      <c r="A91" t="inlineStr">
        <is>
          <t>2026-09-25</t>
        </is>
      </c>
      <c r="B91" t="inlineStr">
        <is>
          <t>Nasdaq</t>
        </is>
      </c>
      <c r="C91" t="n">
        <v>174</v>
      </c>
      <c r="D91" t="n">
        <v>170</v>
      </c>
      <c r="E91" t="n">
        <v>0.508</v>
      </c>
      <c r="F91">
        <f>IF(B90=B91, IFERROR((E91-E90)/ABS(E90), "n/a"), "")</f>
        <v/>
      </c>
      <c r="G91" t="n">
        <v>30901.75</v>
      </c>
    </row>
    <row r="92">
      <c r="A92" t="inlineStr">
        <is>
          <t>2026-09-26</t>
        </is>
      </c>
      <c r="B92" t="inlineStr">
        <is>
          <t>Nasdaq</t>
        </is>
      </c>
      <c r="C92" t="n">
        <v>174</v>
      </c>
      <c r="D92" t="n">
        <v>169</v>
      </c>
      <c r="E92" t="n">
        <v>2.636</v>
      </c>
      <c r="F92">
        <f>IF(B91=B92, IFERROR((E92-E91)/ABS(E91), "n/a"), "")</f>
        <v/>
      </c>
      <c r="G92" t="n">
        <v>30895.75</v>
      </c>
    </row>
    <row r="93">
      <c r="A93" t="inlineStr">
        <is>
          <t>2026-09-27</t>
        </is>
      </c>
      <c r="B93" t="inlineStr">
        <is>
          <t>Nasdaq</t>
        </is>
      </c>
      <c r="C93" t="n">
        <v>139</v>
      </c>
      <c r="D93" t="n">
        <v>136</v>
      </c>
      <c r="E93" t="n">
        <v>2.269</v>
      </c>
      <c r="F93">
        <f>IF(B92=B93, IFERROR((E93-E92)/ABS(E92), "n/a"), "")</f>
        <v/>
      </c>
      <c r="G93" t="n">
        <v>30868.5625</v>
      </c>
    </row>
    <row r="94">
      <c r="A94" t="inlineStr">
        <is>
          <t>2026-09-28</t>
        </is>
      </c>
      <c r="B94" t="inlineStr">
        <is>
          <t>Nasdaq</t>
        </is>
      </c>
      <c r="C94" t="n">
        <v>70</v>
      </c>
      <c r="D94" t="n">
        <v>72</v>
      </c>
      <c r="E94" t="n">
        <v>4.107</v>
      </c>
      <c r="F94">
        <f>IF(B93=B94, IFERROR((E94-E93)/ABS(E93), "n/a"), "")</f>
        <v/>
      </c>
      <c r="G94" t="n">
        <v>30639.25</v>
      </c>
    </row>
    <row r="95">
      <c r="A95" t="inlineStr">
        <is>
          <t>2026-09-29</t>
        </is>
      </c>
      <c r="B95" t="inlineStr">
        <is>
          <t>Nasdaq</t>
        </is>
      </c>
      <c r="C95" t="n">
        <v>144</v>
      </c>
      <c r="D95" t="n">
        <v>151</v>
      </c>
      <c r="E95" t="n">
        <v>7.112</v>
      </c>
      <c r="F95">
        <f>IF(B94=B95, IFERROR((E95-E94)/ABS(E94), "n/a"), "")</f>
        <v/>
      </c>
      <c r="G95" t="n">
        <v>30602.1875</v>
      </c>
    </row>
    <row r="96">
      <c r="A96" t="inlineStr">
        <is>
          <t>2026-09-30</t>
        </is>
      </c>
      <c r="B96" t="inlineStr">
        <is>
          <t>Nasdaq</t>
        </is>
      </c>
      <c r="C96" t="n">
        <v>111</v>
      </c>
      <c r="D96" t="n">
        <v>112</v>
      </c>
      <c r="E96" t="n">
        <v>6.872</v>
      </c>
      <c r="F96">
        <f>IF(B95=B96, IFERROR((E96-E95)/ABS(E95), "n/a"), "")</f>
        <v/>
      </c>
      <c r="G96" t="n">
        <v>30727.4167</v>
      </c>
    </row>
    <row r="97">
      <c r="A97" t="inlineStr">
        <is>
          <t>2026-10-01</t>
        </is>
      </c>
      <c r="B97" t="inlineStr">
        <is>
          <t>Nasdaq</t>
        </is>
      </c>
      <c r="C97" t="n">
        <v>116</v>
      </c>
      <c r="D97" t="n">
        <v>112</v>
      </c>
      <c r="E97" t="n">
        <v>6.224</v>
      </c>
      <c r="F97">
        <f>IF(B96=B97, IFERROR((E97-E96)/ABS(E96), "n/a"), "")</f>
        <v/>
      </c>
      <c r="G97" t="n">
        <v>30770.9167</v>
      </c>
    </row>
    <row r="98">
      <c r="A98" t="inlineStr">
        <is>
          <t>2026-10-02</t>
        </is>
      </c>
      <c r="B98" t="inlineStr">
        <is>
          <t>Nasdaq</t>
        </is>
      </c>
      <c r="C98" t="n">
        <v>114</v>
      </c>
      <c r="D98" t="n">
        <v>114</v>
      </c>
      <c r="E98" t="n">
        <v>1.95</v>
      </c>
      <c r="F98">
        <f>IF(B97=B98, IFERROR((E98-E97)/ABS(E97), "n/a"), "")</f>
        <v/>
      </c>
      <c r="G98" t="n">
        <v>31080.1667</v>
      </c>
    </row>
    <row r="99">
      <c r="A99" t="inlineStr">
        <is>
          <t>2026-10-03</t>
        </is>
      </c>
      <c r="B99" t="inlineStr">
        <is>
          <t>Nasdaq</t>
        </is>
      </c>
      <c r="C99" t="n">
        <v>157</v>
      </c>
      <c r="D99" t="n">
        <v>151</v>
      </c>
      <c r="E99" t="n">
        <v>2.666</v>
      </c>
      <c r="F99">
        <f>IF(B98=B99, IFERROR((E99-E98)/ABS(E98), "n/a"), "")</f>
        <v/>
      </c>
      <c r="G99" t="n">
        <v>31058.5625</v>
      </c>
    </row>
    <row r="100">
      <c r="A100" t="inlineStr">
        <is>
          <t>2026-10-04</t>
        </is>
      </c>
      <c r="B100" t="inlineStr">
        <is>
          <t>Nasdaq</t>
        </is>
      </c>
      <c r="C100" t="n">
        <v>159</v>
      </c>
      <c r="D100" t="n">
        <v>153</v>
      </c>
      <c r="E100" t="n">
        <v>3.19</v>
      </c>
      <c r="F100">
        <f>IF(B99=B100, IFERROR((E100-E99)/ABS(E99), "n/a"), "")</f>
        <v/>
      </c>
      <c r="G100" t="n">
        <v>31086.25</v>
      </c>
    </row>
    <row r="101">
      <c r="A101" t="inlineStr">
        <is>
          <t>2026-10-05</t>
        </is>
      </c>
      <c r="B101" t="inlineStr">
        <is>
          <t>Nasdaq</t>
        </is>
      </c>
      <c r="C101" t="n">
        <v>80</v>
      </c>
      <c r="D101" t="n">
        <v>76</v>
      </c>
      <c r="E101" t="n">
        <v>2.624</v>
      </c>
      <c r="F101">
        <f>IF(B100=B101, IFERROR((E101-E100)/ABS(E100), "n/a"), "")</f>
        <v/>
      </c>
      <c r="G101" t="n">
        <v>31170.25</v>
      </c>
    </row>
    <row r="102">
      <c r="A102" t="inlineStr">
        <is>
          <t>2026-10-06</t>
        </is>
      </c>
      <c r="B102" t="inlineStr">
        <is>
          <t>Nasdaq</t>
        </is>
      </c>
      <c r="C102" t="n">
        <v>152</v>
      </c>
      <c r="D102" t="n">
        <v>155</v>
      </c>
      <c r="E102" t="n">
        <v>-4.017</v>
      </c>
      <c r="F102">
        <f>IF(B101=B102, IFERROR((E102-E101)/ABS(E101), "n/a"), "")</f>
        <v/>
      </c>
      <c r="G102" t="n">
        <v>31468.375</v>
      </c>
    </row>
    <row r="103">
      <c r="A103" t="inlineStr">
        <is>
          <t>2026-10-07</t>
        </is>
      </c>
      <c r="B103" t="inlineStr">
        <is>
          <t>Nasdaq</t>
        </is>
      </c>
      <c r="C103" t="n">
        <v>73</v>
      </c>
      <c r="D103" t="n">
        <v>75</v>
      </c>
      <c r="E103" t="n">
        <v>0.298</v>
      </c>
      <c r="F103">
        <f>IF(B102=B103, IFERROR((E103-E102)/ABS(E102), "n/a"), "")</f>
        <v/>
      </c>
      <c r="G103" t="n">
        <v>31438.25</v>
      </c>
    </row>
    <row r="104">
      <c r="A104" t="inlineStr">
        <is>
          <t>2026-10-08</t>
        </is>
      </c>
      <c r="B104" t="inlineStr">
        <is>
          <t>Nasdaq</t>
        </is>
      </c>
      <c r="C104" t="n">
        <v>113</v>
      </c>
      <c r="D104" t="n">
        <v>112</v>
      </c>
      <c r="E104" t="n">
        <v>-0.006</v>
      </c>
      <c r="F104">
        <f>IF(B103=B104, IFERROR((E104-E103)/ABS(E103), "n/a"), "")</f>
        <v/>
      </c>
      <c r="G104" t="n">
        <v>31216.3333</v>
      </c>
    </row>
    <row r="105">
      <c r="A105" t="inlineStr">
        <is>
          <t>2026-10-09</t>
        </is>
      </c>
      <c r="B105" t="inlineStr">
        <is>
          <t>Nasdaq</t>
        </is>
      </c>
      <c r="C105" t="n">
        <v>107</v>
      </c>
      <c r="D105" t="n">
        <v>109</v>
      </c>
      <c r="E105" t="n">
        <v>0.646</v>
      </c>
      <c r="F105">
        <f>IF(B104=B105, IFERROR((E105-E104)/ABS(E104), "n/a"), "")</f>
        <v/>
      </c>
      <c r="G105" t="n">
        <v>31099.75</v>
      </c>
    </row>
    <row r="106">
      <c r="A106" t="inlineStr">
        <is>
          <t>2026-10-10</t>
        </is>
      </c>
      <c r="B106" t="inlineStr">
        <is>
          <t>Nasdaq</t>
        </is>
      </c>
      <c r="C106" t="n">
        <v>148</v>
      </c>
      <c r="D106" t="n">
        <v>144</v>
      </c>
      <c r="E106" t="n">
        <v>3.202</v>
      </c>
      <c r="F106">
        <f>IF(B105=B106, IFERROR((E106-E105)/ABS(E105), "n/a"), "")</f>
        <v/>
      </c>
      <c r="G106" t="n">
        <v>31112.375</v>
      </c>
    </row>
    <row r="107">
      <c r="A107" t="inlineStr">
        <is>
          <t>2026-10-11</t>
        </is>
      </c>
      <c r="B107" t="inlineStr">
        <is>
          <t>Nasdaq</t>
        </is>
      </c>
      <c r="C107" t="n">
        <v>146</v>
      </c>
      <c r="D107" t="n">
        <v>145</v>
      </c>
      <c r="E107" t="n">
        <v>-0.516</v>
      </c>
      <c r="F107">
        <f>IF(B106=B107, IFERROR((E107-E106)/ABS(E106), "n/a"), "")</f>
        <v/>
      </c>
      <c r="G107" t="n">
        <v>31141.0625</v>
      </c>
    </row>
    <row r="108">
      <c r="A108" t="inlineStr">
        <is>
          <t>2026-10-12</t>
        </is>
      </c>
      <c r="B108" t="inlineStr">
        <is>
          <t>Nasdaq</t>
        </is>
      </c>
      <c r="C108" t="n">
        <v>74</v>
      </c>
      <c r="D108" t="n">
        <v>72</v>
      </c>
      <c r="E108" t="n">
        <v>1.744</v>
      </c>
      <c r="F108">
        <f>IF(B107=B108, IFERROR((E108-E107)/ABS(E107), "n/a"), "")</f>
        <v/>
      </c>
      <c r="G108" t="n">
        <v>31071.125</v>
      </c>
    </row>
    <row r="109">
      <c r="A109" t="inlineStr">
        <is>
          <t>2026-10-13</t>
        </is>
      </c>
      <c r="B109" t="inlineStr">
        <is>
          <t>Nasdaq</t>
        </is>
      </c>
      <c r="C109" t="n">
        <v>149</v>
      </c>
      <c r="D109" t="n">
        <v>147</v>
      </c>
      <c r="E109" t="n">
        <v>5.682</v>
      </c>
      <c r="F109">
        <f>IF(B108=B109, IFERROR((E109-E108)/ABS(E108), "n/a"), "")</f>
        <v/>
      </c>
      <c r="G109" t="n">
        <v>30713.8125</v>
      </c>
    </row>
    <row r="110">
      <c r="A110" t="inlineStr">
        <is>
          <t>2026-10-14</t>
        </is>
      </c>
      <c r="B110" t="inlineStr">
        <is>
          <t>Nasdaq</t>
        </is>
      </c>
      <c r="C110" t="n">
        <v>147</v>
      </c>
      <c r="D110" t="n">
        <v>150</v>
      </c>
      <c r="E110" t="n">
        <v>6.271</v>
      </c>
      <c r="F110">
        <f>IF(B109=B110, IFERROR((E110-E109)/ABS(E109), "n/a"), "")</f>
        <v/>
      </c>
      <c r="G110" t="n">
        <v>30480.0625</v>
      </c>
    </row>
    <row r="111">
      <c r="A111" t="inlineStr">
        <is>
          <t>2026-10-15</t>
        </is>
      </c>
      <c r="B111" t="inlineStr">
        <is>
          <t>Nasdaq</t>
        </is>
      </c>
      <c r="C111" t="n">
        <v>148</v>
      </c>
      <c r="D111" t="n">
        <v>147</v>
      </c>
      <c r="E111" t="n">
        <v>4.488</v>
      </c>
      <c r="F111">
        <f>IF(B110=B111, IFERROR((E111-E110)/ABS(E110), "n/a"), "")</f>
        <v/>
      </c>
      <c r="G111" t="n">
        <v>29927.375</v>
      </c>
    </row>
    <row r="112">
      <c r="A112" t="inlineStr">
        <is>
          <t>2026-10-16</t>
        </is>
      </c>
      <c r="B112" t="inlineStr">
        <is>
          <t>Nasdaq</t>
        </is>
      </c>
      <c r="C112" t="n">
        <v>149</v>
      </c>
      <c r="D112" t="n">
        <v>144</v>
      </c>
      <c r="E112" t="n">
        <v>2.898</v>
      </c>
      <c r="F112">
        <f>IF(B111=B112, IFERROR((E112-E111)/ABS(E111), "n/a"), "")</f>
        <v/>
      </c>
      <c r="G112" t="n">
        <v>29828.5</v>
      </c>
    </row>
    <row r="113">
      <c r="A113" t="inlineStr">
        <is>
          <t>2026-10-17</t>
        </is>
      </c>
      <c r="B113" t="inlineStr">
        <is>
          <t>Nasdaq</t>
        </is>
      </c>
      <c r="C113" t="n">
        <v>190</v>
      </c>
      <c r="D113" t="n">
        <v>171</v>
      </c>
      <c r="E113" t="n">
        <v>5.144</v>
      </c>
      <c r="F113">
        <f>IF(B112=B113, IFERROR((E113-E112)/ABS(E112), "n/a"), "")</f>
        <v/>
      </c>
      <c r="G113" t="n">
        <v>29391.4</v>
      </c>
    </row>
    <row r="114">
      <c r="A114" t="inlineStr">
        <is>
          <t>2026-10-18</t>
        </is>
      </c>
      <c r="B114" t="inlineStr">
        <is>
          <t>Nasdaq</t>
        </is>
      </c>
      <c r="C114" t="n">
        <v>185</v>
      </c>
      <c r="D114" t="n">
        <v>158</v>
      </c>
      <c r="E114" t="n">
        <v>5.225</v>
      </c>
      <c r="F114">
        <f>IF(B113=B114, IFERROR((E114-E113)/ABS(E113), "n/a"), "")</f>
        <v/>
      </c>
      <c r="G114" t="n">
        <v>29391.5</v>
      </c>
    </row>
    <row r="115">
      <c r="A115" t="inlineStr">
        <is>
          <t>2026-10-19</t>
        </is>
      </c>
      <c r="B115" t="inlineStr">
        <is>
          <t>Nasdaq</t>
        </is>
      </c>
      <c r="C115" t="n">
        <v>151</v>
      </c>
      <c r="D115" t="n">
        <v>133</v>
      </c>
      <c r="E115" t="n">
        <v>3.328</v>
      </c>
      <c r="F115">
        <f>IF(B114=B115, IFERROR((E115-E114)/ABS(E114), "n/a"), "")</f>
        <v/>
      </c>
      <c r="G115" t="n">
        <v>29756</v>
      </c>
    </row>
    <row r="116">
      <c r="A116" t="inlineStr">
        <is>
          <t>2026-10-20</t>
        </is>
      </c>
      <c r="B116" t="inlineStr">
        <is>
          <t>Nasdaq</t>
        </is>
      </c>
      <c r="C116" t="n">
        <v>156</v>
      </c>
      <c r="D116" t="n">
        <v>138</v>
      </c>
      <c r="E116" t="n">
        <v>1.217</v>
      </c>
      <c r="F116">
        <f>IF(B115=B116, IFERROR((E116-E115)/ABS(E115), "n/a"), "")</f>
        <v/>
      </c>
      <c r="G116" t="n">
        <v>29740.1875</v>
      </c>
    </row>
    <row r="117">
      <c r="A117" t="inlineStr">
        <is>
          <t>2026-10-21</t>
        </is>
      </c>
      <c r="B117" t="inlineStr">
        <is>
          <t>Nasdaq</t>
        </is>
      </c>
      <c r="C117" t="n">
        <v>153</v>
      </c>
      <c r="D117" t="n">
        <v>138</v>
      </c>
      <c r="E117" t="n">
        <v>-3.456</v>
      </c>
      <c r="F117">
        <f>IF(B116=B117, IFERROR((E117-E116)/ABS(E116), "n/a"), "")</f>
        <v/>
      </c>
      <c r="G117" t="n">
        <v>29897.0625</v>
      </c>
    </row>
    <row r="118">
      <c r="A118" t="inlineStr">
        <is>
          <t>2026-10-22</t>
        </is>
      </c>
      <c r="B118" t="inlineStr">
        <is>
          <t>Nasdaq</t>
        </is>
      </c>
      <c r="C118" t="n">
        <v>150</v>
      </c>
      <c r="D118" t="n">
        <v>137</v>
      </c>
      <c r="E118" t="n">
        <v>-0.652</v>
      </c>
      <c r="F118">
        <f>IF(B117=B118, IFERROR((E118-E117)/ABS(E117), "n/a"), "")</f>
        <v/>
      </c>
      <c r="G118" t="n">
        <v>29371.8125</v>
      </c>
    </row>
    <row r="119">
      <c r="A119" t="inlineStr">
        <is>
          <t>2026-09-14</t>
        </is>
      </c>
      <c r="B119" t="inlineStr">
        <is>
          <t>Oil</t>
        </is>
      </c>
      <c r="C119" t="n">
        <v>240</v>
      </c>
      <c r="D119" t="n">
        <v>240</v>
      </c>
      <c r="E119" t="n">
        <v>3.844</v>
      </c>
      <c r="F119">
        <f>IF(B118=B119, IFERROR((E119-E118)/ABS(E118), "n/a"), "")</f>
        <v/>
      </c>
      <c r="G119" t="n">
        <v>102.566</v>
      </c>
    </row>
    <row r="120">
      <c r="A120" t="inlineStr">
        <is>
          <t>2026-09-15</t>
        </is>
      </c>
      <c r="B120" t="inlineStr">
        <is>
          <t>Oil</t>
        </is>
      </c>
      <c r="C120" t="n">
        <v>160</v>
      </c>
      <c r="D120" t="n">
        <v>160</v>
      </c>
      <c r="E120" t="n">
        <v>1.426</v>
      </c>
      <c r="F120">
        <f>IF(B119=B120, IFERROR((E120-E119)/ABS(E119), "n/a"), "")</f>
        <v/>
      </c>
      <c r="G120" t="n">
        <v>104.275</v>
      </c>
    </row>
    <row r="121">
      <c r="A121" t="inlineStr">
        <is>
          <t>2026-09-16</t>
        </is>
      </c>
      <c r="B121" t="inlineStr">
        <is>
          <t>Oil</t>
        </is>
      </c>
      <c r="C121" t="n">
        <v>160</v>
      </c>
      <c r="D121" t="n">
        <v>160</v>
      </c>
      <c r="E121" t="n">
        <v>1.484</v>
      </c>
      <c r="F121">
        <f>IF(B120=B121, IFERROR((E121-E120)/ABS(E120), "n/a"), "")</f>
        <v/>
      </c>
      <c r="G121" t="n">
        <v>103.3625</v>
      </c>
    </row>
    <row r="122">
      <c r="A122" t="inlineStr">
        <is>
          <t>2026-09-17</t>
        </is>
      </c>
      <c r="B122" t="inlineStr">
        <is>
          <t>Oil</t>
        </is>
      </c>
      <c r="C122" t="n">
        <v>160</v>
      </c>
      <c r="D122" t="n">
        <v>160</v>
      </c>
      <c r="E122" t="n">
        <v>2.468</v>
      </c>
      <c r="F122">
        <f>IF(B121=B122, IFERROR((E122-E121)/ABS(E121), "n/a"), "")</f>
        <v/>
      </c>
      <c r="G122" t="n">
        <v>101.475</v>
      </c>
    </row>
    <row r="123">
      <c r="A123" t="inlineStr">
        <is>
          <t>2026-09-18</t>
        </is>
      </c>
      <c r="B123" t="inlineStr">
        <is>
          <t>Oil</t>
        </is>
      </c>
      <c r="C123" t="n">
        <v>157</v>
      </c>
      <c r="D123" t="n">
        <v>160</v>
      </c>
      <c r="E123" t="n">
        <v>1.628</v>
      </c>
      <c r="F123">
        <f>IF(B122=B123, IFERROR((E123-E122)/ABS(E122), "n/a"), "")</f>
        <v/>
      </c>
      <c r="G123" t="n">
        <v>96.998</v>
      </c>
    </row>
    <row r="124">
      <c r="A124" t="inlineStr">
        <is>
          <t>2026-09-19</t>
        </is>
      </c>
      <c r="B124" t="inlineStr">
        <is>
          <t>Oil</t>
        </is>
      </c>
      <c r="C124" t="n">
        <v>199</v>
      </c>
      <c r="D124" t="n">
        <v>192</v>
      </c>
      <c r="E124" t="n">
        <v>-0.806</v>
      </c>
      <c r="F124">
        <f>IF(B123=B124, IFERROR((E124-E123)/ABS(E123), "n/a"), "")</f>
        <v/>
      </c>
      <c r="G124" t="n">
        <v>95.958</v>
      </c>
    </row>
    <row r="125">
      <c r="A125" t="inlineStr">
        <is>
          <t>2026-09-20</t>
        </is>
      </c>
      <c r="B125" t="inlineStr">
        <is>
          <t>Oil</t>
        </is>
      </c>
      <c r="C125" t="n">
        <v>200</v>
      </c>
      <c r="D125" t="n">
        <v>200</v>
      </c>
      <c r="E125" t="n">
        <v>-0.925</v>
      </c>
      <c r="F125">
        <f>IF(B124=B125, IFERROR((E125-E124)/ABS(E124), "n/a"), "")</f>
        <v/>
      </c>
      <c r="G125" t="n">
        <v>96.08</v>
      </c>
    </row>
    <row r="126">
      <c r="A126" t="inlineStr">
        <is>
          <t>2026-09-21</t>
        </is>
      </c>
      <c r="B126" t="inlineStr">
        <is>
          <t>Oil</t>
        </is>
      </c>
      <c r="C126" t="n">
        <v>160</v>
      </c>
      <c r="D126" t="n">
        <v>160</v>
      </c>
      <c r="E126" t="n">
        <v>0.485</v>
      </c>
      <c r="F126">
        <f>IF(B125=B126, IFERROR((E126-E125)/ABS(E125), "n/a"), "")</f>
        <v/>
      </c>
      <c r="G126" t="n">
        <v>93.07250000000001</v>
      </c>
    </row>
    <row r="127">
      <c r="A127" t="inlineStr">
        <is>
          <t>2026-09-22</t>
        </is>
      </c>
      <c r="B127" t="inlineStr">
        <is>
          <t>Oil</t>
        </is>
      </c>
      <c r="C127" t="n">
        <v>160</v>
      </c>
      <c r="D127" t="n">
        <v>160</v>
      </c>
      <c r="E127" t="n">
        <v>3.724</v>
      </c>
      <c r="F127">
        <f>IF(B126=B127, IFERROR((E127-E126)/ABS(E126), "n/a"), "")</f>
        <v/>
      </c>
      <c r="G127" t="n">
        <v>91.25749999999999</v>
      </c>
    </row>
    <row r="128">
      <c r="A128" t="inlineStr">
        <is>
          <t>2026-09-23</t>
        </is>
      </c>
      <c r="B128" t="inlineStr">
        <is>
          <t>Oil</t>
        </is>
      </c>
      <c r="C128" t="n">
        <v>160</v>
      </c>
      <c r="D128" t="n">
        <v>160</v>
      </c>
      <c r="E128" t="n">
        <v>1.56</v>
      </c>
      <c r="F128">
        <f>IF(B127=B128, IFERROR((E128-E127)/ABS(E127), "n/a"), "")</f>
        <v/>
      </c>
      <c r="G128" t="n">
        <v>91.13500000000001</v>
      </c>
    </row>
    <row r="129">
      <c r="A129" t="inlineStr">
        <is>
          <t>2026-09-24</t>
        </is>
      </c>
      <c r="B129" t="inlineStr">
        <is>
          <t>Oil</t>
        </is>
      </c>
      <c r="C129" t="n">
        <v>160</v>
      </c>
      <c r="D129" t="n">
        <v>160</v>
      </c>
      <c r="E129" t="n">
        <v>1.612</v>
      </c>
      <c r="F129">
        <f>IF(B128=B129, IFERROR((E129-E128)/ABS(E128), "n/a"), "")</f>
        <v/>
      </c>
      <c r="G129" t="n">
        <v>93.5275</v>
      </c>
    </row>
    <row r="130">
      <c r="A130" t="inlineStr">
        <is>
          <t>2026-09-25</t>
        </is>
      </c>
      <c r="B130" t="inlineStr">
        <is>
          <t>Oil</t>
        </is>
      </c>
      <c r="C130" t="n">
        <v>200</v>
      </c>
      <c r="D130" t="n">
        <v>200</v>
      </c>
      <c r="E130" t="n">
        <v>2.839</v>
      </c>
      <c r="F130">
        <f>IF(B129=B130, IFERROR((E130-E129)/ABS(E129), "n/a"), "")</f>
        <v/>
      </c>
      <c r="G130" t="n">
        <v>92.614</v>
      </c>
    </row>
    <row r="131">
      <c r="A131" t="inlineStr">
        <is>
          <t>2026-09-26</t>
        </is>
      </c>
      <c r="B131" t="inlineStr">
        <is>
          <t>Oil</t>
        </is>
      </c>
      <c r="C131" t="n">
        <v>200</v>
      </c>
      <c r="D131" t="n">
        <v>200</v>
      </c>
      <c r="E131" t="n">
        <v>2.774</v>
      </c>
      <c r="F131">
        <f>IF(B130=B131, IFERROR((E131-E130)/ABS(E130), "n/a"), "")</f>
        <v/>
      </c>
      <c r="G131" t="n">
        <v>92.416</v>
      </c>
    </row>
    <row r="132">
      <c r="A132" t="inlineStr">
        <is>
          <t>2026-09-27</t>
        </is>
      </c>
      <c r="B132" t="inlineStr">
        <is>
          <t>Oil</t>
        </is>
      </c>
      <c r="C132" t="n">
        <v>160</v>
      </c>
      <c r="D132" t="n">
        <v>160</v>
      </c>
      <c r="E132" t="n">
        <v>0.578</v>
      </c>
      <c r="F132">
        <f>IF(B131=B132, IFERROR((E132-E131)/ABS(E131), "n/a"), "")</f>
        <v/>
      </c>
      <c r="G132" t="n">
        <v>92.7</v>
      </c>
    </row>
    <row r="133">
      <c r="A133" t="inlineStr">
        <is>
          <t>2026-09-28</t>
        </is>
      </c>
      <c r="B133" t="inlineStr">
        <is>
          <t>Oil</t>
        </is>
      </c>
      <c r="C133" t="n">
        <v>80</v>
      </c>
      <c r="D133" t="n">
        <v>80</v>
      </c>
      <c r="E133" t="n">
        <v>-0.452</v>
      </c>
      <c r="F133">
        <f>IF(B132=B133, IFERROR((E133-E132)/ABS(E132), "n/a"), "")</f>
        <v/>
      </c>
      <c r="G133" t="n">
        <v>93.16500000000001</v>
      </c>
    </row>
    <row r="134">
      <c r="A134" t="inlineStr">
        <is>
          <t>2026-09-29</t>
        </is>
      </c>
      <c r="B134" t="inlineStr">
        <is>
          <t>Oil</t>
        </is>
      </c>
      <c r="C134" t="n">
        <v>160</v>
      </c>
      <c r="D134" t="n">
        <v>160</v>
      </c>
      <c r="E134" t="n">
        <v>3.116</v>
      </c>
      <c r="F134">
        <f>IF(B133=B134, IFERROR((E134-E133)/ABS(E133), "n/a"), "")</f>
        <v/>
      </c>
      <c r="G134" t="n">
        <v>91.3475</v>
      </c>
    </row>
    <row r="135">
      <c r="A135" t="inlineStr">
        <is>
          <t>2026-09-30</t>
        </is>
      </c>
      <c r="B135" t="inlineStr">
        <is>
          <t>Oil</t>
        </is>
      </c>
      <c r="C135" t="n">
        <v>120</v>
      </c>
      <c r="D135" t="n">
        <v>120</v>
      </c>
      <c r="E135" t="n">
        <v>3.837</v>
      </c>
      <c r="F135">
        <f>IF(B134=B135, IFERROR((E135-E134)/ABS(E134), "n/a"), "")</f>
        <v/>
      </c>
      <c r="G135" t="n">
        <v>90.4667</v>
      </c>
    </row>
    <row r="136">
      <c r="A136" t="inlineStr">
        <is>
          <t>2026-10-01</t>
        </is>
      </c>
      <c r="B136" t="inlineStr">
        <is>
          <t>Oil</t>
        </is>
      </c>
      <c r="C136" t="n">
        <v>120</v>
      </c>
      <c r="D136" t="n">
        <v>120</v>
      </c>
      <c r="E136" t="n">
        <v>5.008</v>
      </c>
      <c r="F136">
        <f>IF(B135=B136, IFERROR((E136-E135)/ABS(E135), "n/a"), "")</f>
        <v/>
      </c>
      <c r="G136" t="n">
        <v>91.4867</v>
      </c>
    </row>
    <row r="137">
      <c r="A137" t="inlineStr">
        <is>
          <t>2026-10-02</t>
        </is>
      </c>
      <c r="B137" t="inlineStr">
        <is>
          <t>Oil</t>
        </is>
      </c>
      <c r="C137" t="n">
        <v>120</v>
      </c>
      <c r="D137" t="n">
        <v>120</v>
      </c>
      <c r="E137" t="n">
        <v>5.458</v>
      </c>
      <c r="F137">
        <f>IF(B136=B137, IFERROR((E137-E136)/ABS(E136), "n/a"), "")</f>
        <v/>
      </c>
      <c r="G137" t="n">
        <v>90.88330000000001</v>
      </c>
    </row>
    <row r="138">
      <c r="A138" t="inlineStr">
        <is>
          <t>2026-10-03</t>
        </is>
      </c>
      <c r="B138" t="inlineStr">
        <is>
          <t>Oil</t>
        </is>
      </c>
      <c r="C138" t="n">
        <v>160</v>
      </c>
      <c r="D138" t="n">
        <v>160</v>
      </c>
      <c r="E138" t="n">
        <v>1.557</v>
      </c>
      <c r="F138">
        <f>IF(B137=B138, IFERROR((E138-E137)/ABS(E137), "n/a"), "")</f>
        <v/>
      </c>
      <c r="G138" t="n">
        <v>91.14749999999999</v>
      </c>
    </row>
    <row r="139">
      <c r="A139" t="inlineStr">
        <is>
          <t>2026-10-04</t>
        </is>
      </c>
      <c r="B139" t="inlineStr">
        <is>
          <t>Oil</t>
        </is>
      </c>
      <c r="C139" t="n">
        <v>160</v>
      </c>
      <c r="D139" t="n">
        <v>160</v>
      </c>
      <c r="E139" t="n">
        <v>2.22</v>
      </c>
      <c r="F139">
        <f>IF(B138=B139, IFERROR((E139-E138)/ABS(E138), "n/a"), "")</f>
        <v/>
      </c>
      <c r="G139" t="n">
        <v>91.12</v>
      </c>
    </row>
    <row r="140">
      <c r="A140" t="inlineStr">
        <is>
          <t>2026-10-05</t>
        </is>
      </c>
      <c r="B140" t="inlineStr">
        <is>
          <t>Oil</t>
        </is>
      </c>
      <c r="C140" t="n">
        <v>80</v>
      </c>
      <c r="D140" t="n">
        <v>80</v>
      </c>
      <c r="E140" t="n">
        <v>3.079</v>
      </c>
      <c r="F140">
        <f>IF(B139=B140, IFERROR((E140-E139)/ABS(E139), "n/a"), "")</f>
        <v/>
      </c>
      <c r="G140" t="n">
        <v>89.875</v>
      </c>
    </row>
    <row r="141">
      <c r="A141" t="inlineStr">
        <is>
          <t>2026-10-06</t>
        </is>
      </c>
      <c r="B141" t="inlineStr">
        <is>
          <t>Oil</t>
        </is>
      </c>
      <c r="C141" t="n">
        <v>160</v>
      </c>
      <c r="D141" t="n">
        <v>160</v>
      </c>
      <c r="E141" t="n">
        <v>2.154</v>
      </c>
      <c r="F141">
        <f>IF(B140=B141, IFERROR((E141-E140)/ABS(E140), "n/a"), "")</f>
        <v/>
      </c>
      <c r="G141" t="n">
        <v>89.0125</v>
      </c>
    </row>
    <row r="142">
      <c r="A142" t="inlineStr">
        <is>
          <t>2026-10-07</t>
        </is>
      </c>
      <c r="B142" t="inlineStr">
        <is>
          <t>Oil</t>
        </is>
      </c>
      <c r="C142" t="n">
        <v>80</v>
      </c>
      <c r="D142" t="n">
        <v>80</v>
      </c>
      <c r="E142" t="n">
        <v>1.294</v>
      </c>
      <c r="F142">
        <f>IF(B141=B142, IFERROR((E142-E141)/ABS(E141), "n/a"), "")</f>
        <v/>
      </c>
      <c r="G142" t="n">
        <v>89.56</v>
      </c>
    </row>
    <row r="143">
      <c r="A143" t="inlineStr">
        <is>
          <t>2026-10-08</t>
        </is>
      </c>
      <c r="B143" t="inlineStr">
        <is>
          <t>Oil</t>
        </is>
      </c>
      <c r="C143" t="n">
        <v>120</v>
      </c>
      <c r="D143" t="n">
        <v>120</v>
      </c>
      <c r="E143" t="n">
        <v>3.224</v>
      </c>
      <c r="F143">
        <f>IF(B142=B143, IFERROR((E143-E142)/ABS(E142), "n/a"), "")</f>
        <v/>
      </c>
      <c r="G143" t="n">
        <v>91.2867</v>
      </c>
    </row>
    <row r="144">
      <c r="A144" t="inlineStr">
        <is>
          <t>2026-10-09</t>
        </is>
      </c>
      <c r="B144" t="inlineStr">
        <is>
          <t>Oil</t>
        </is>
      </c>
      <c r="C144" t="n">
        <v>120</v>
      </c>
      <c r="D144" t="n">
        <v>120</v>
      </c>
      <c r="E144" t="n">
        <v>2.528</v>
      </c>
      <c r="F144">
        <f>IF(B143=B144, IFERROR((E144-E143)/ABS(E143), "n/a"), "")</f>
        <v/>
      </c>
      <c r="G144" t="n">
        <v>91.1867</v>
      </c>
    </row>
    <row r="145">
      <c r="A145" t="inlineStr">
        <is>
          <t>2026-10-10</t>
        </is>
      </c>
      <c r="B145" t="inlineStr">
        <is>
          <t>Oil</t>
        </is>
      </c>
      <c r="C145" t="n">
        <v>160</v>
      </c>
      <c r="D145" t="n">
        <v>160</v>
      </c>
      <c r="E145" t="n">
        <v>2.922</v>
      </c>
      <c r="F145">
        <f>IF(B144=B145, IFERROR((E145-E144)/ABS(E144), "n/a"), "")</f>
        <v/>
      </c>
      <c r="G145" t="n">
        <v>91.80249999999999</v>
      </c>
    </row>
    <row r="146">
      <c r="A146" t="inlineStr">
        <is>
          <t>2026-10-11</t>
        </is>
      </c>
      <c r="B146" t="inlineStr">
        <is>
          <t>Oil</t>
        </is>
      </c>
      <c r="C146" t="n">
        <v>152</v>
      </c>
      <c r="D146" t="n">
        <v>160</v>
      </c>
      <c r="E146" t="n">
        <v>3.45</v>
      </c>
      <c r="F146">
        <f>IF(B145=B146, IFERROR((E146-E145)/ABS(E145), "n/a"), "")</f>
        <v/>
      </c>
      <c r="G146" t="n">
        <v>91.8325</v>
      </c>
    </row>
    <row r="147">
      <c r="A147" t="inlineStr">
        <is>
          <t>2026-10-12</t>
        </is>
      </c>
      <c r="B147" t="inlineStr">
        <is>
          <t>Oil</t>
        </is>
      </c>
      <c r="C147" t="n">
        <v>80</v>
      </c>
      <c r="D147" t="n">
        <v>80</v>
      </c>
      <c r="E147" t="n">
        <v>4.514</v>
      </c>
      <c r="F147">
        <f>IF(B146=B147, IFERROR((E147-E146)/ABS(E146), "n/a"), "")</f>
        <v/>
      </c>
      <c r="G147" t="n">
        <v>92.06</v>
      </c>
    </row>
    <row r="148">
      <c r="A148" t="inlineStr">
        <is>
          <t>2026-10-13</t>
        </is>
      </c>
      <c r="B148" t="inlineStr">
        <is>
          <t>Oil</t>
        </is>
      </c>
      <c r="C148" t="n">
        <v>160</v>
      </c>
      <c r="D148" t="n">
        <v>160</v>
      </c>
      <c r="E148" t="n">
        <v>3.841</v>
      </c>
      <c r="F148">
        <f>IF(B147=B148, IFERROR((E148-E147)/ABS(E147), "n/a"), "")</f>
        <v/>
      </c>
      <c r="G148" t="n">
        <v>93.3925</v>
      </c>
    </row>
    <row r="149">
      <c r="A149" t="inlineStr">
        <is>
          <t>2026-10-14</t>
        </is>
      </c>
      <c r="B149" t="inlineStr">
        <is>
          <t>Oil</t>
        </is>
      </c>
      <c r="C149" t="n">
        <v>160</v>
      </c>
      <c r="D149" t="n">
        <v>160</v>
      </c>
      <c r="E149" t="n">
        <v>2.97</v>
      </c>
      <c r="F149">
        <f>IF(B148=B149, IFERROR((E149-E148)/ABS(E148), "n/a"), "")</f>
        <v/>
      </c>
      <c r="G149" t="n">
        <v>94.825</v>
      </c>
    </row>
    <row r="150">
      <c r="A150" t="inlineStr">
        <is>
          <t>2026-10-15</t>
        </is>
      </c>
      <c r="B150" t="inlineStr">
        <is>
          <t>Oil</t>
        </is>
      </c>
      <c r="C150" t="n">
        <v>160</v>
      </c>
      <c r="D150" t="n">
        <v>160</v>
      </c>
      <c r="E150" t="n">
        <v>3.736</v>
      </c>
      <c r="F150">
        <f>IF(B149=B150, IFERROR((E150-E149)/ABS(E149), "n/a"), "")</f>
        <v/>
      </c>
      <c r="G150" t="n">
        <v>95.38</v>
      </c>
    </row>
    <row r="151">
      <c r="A151" t="inlineStr">
        <is>
          <t>2026-10-16</t>
        </is>
      </c>
      <c r="B151" t="inlineStr">
        <is>
          <t>Oil</t>
        </is>
      </c>
      <c r="C151" t="n">
        <v>160</v>
      </c>
      <c r="D151" t="n">
        <v>160</v>
      </c>
      <c r="E151" t="n">
        <v>5.13</v>
      </c>
      <c r="F151">
        <f>IF(B150=B151, IFERROR((E151-E150)/ABS(E150), "n/a"), "")</f>
        <v/>
      </c>
      <c r="G151" t="n">
        <v>96.84</v>
      </c>
    </row>
    <row r="152">
      <c r="A152" t="inlineStr">
        <is>
          <t>2026-10-17</t>
        </is>
      </c>
      <c r="B152" t="inlineStr">
        <is>
          <t>Oil</t>
        </is>
      </c>
      <c r="C152" t="n">
        <v>200</v>
      </c>
      <c r="D152" t="n">
        <v>200</v>
      </c>
      <c r="E152" t="n">
        <v>7.134</v>
      </c>
      <c r="F152">
        <f>IF(B151=B152, IFERROR((E152-E151)/ABS(E151), "n/a"), "")</f>
        <v/>
      </c>
      <c r="G152" t="n">
        <v>99.04000000000001</v>
      </c>
    </row>
    <row r="153">
      <c r="A153" t="inlineStr">
        <is>
          <t>2026-10-18</t>
        </is>
      </c>
      <c r="B153" t="inlineStr">
        <is>
          <t>Oil</t>
        </is>
      </c>
      <c r="C153" t="n">
        <v>200</v>
      </c>
      <c r="D153" t="n">
        <v>200</v>
      </c>
      <c r="E153" t="n">
        <v>5.318</v>
      </c>
      <c r="F153">
        <f>IF(B152=B153, IFERROR((E153-E152)/ABS(E152), "n/a"), "")</f>
        <v/>
      </c>
      <c r="G153" t="n">
        <v>99.02</v>
      </c>
    </row>
    <row r="154">
      <c r="A154" t="inlineStr">
        <is>
          <t>2026-10-19</t>
        </is>
      </c>
      <c r="B154" t="inlineStr">
        <is>
          <t>Oil</t>
        </is>
      </c>
      <c r="C154" t="n">
        <v>160</v>
      </c>
      <c r="D154" t="n">
        <v>160</v>
      </c>
      <c r="E154" t="n">
        <v>1.218</v>
      </c>
      <c r="F154">
        <f>IF(B153=B154, IFERROR((E154-E153)/ABS(E153), "n/a"), "")</f>
        <v/>
      </c>
      <c r="G154" t="n">
        <v>98.2075</v>
      </c>
    </row>
    <row r="155">
      <c r="A155" t="inlineStr">
        <is>
          <t>2026-10-20</t>
        </is>
      </c>
      <c r="B155" t="inlineStr">
        <is>
          <t>Oil</t>
        </is>
      </c>
      <c r="C155" t="n">
        <v>160</v>
      </c>
      <c r="D155" t="n">
        <v>160</v>
      </c>
      <c r="E155" t="n">
        <v>0.094</v>
      </c>
      <c r="F155">
        <f>IF(B154=B155, IFERROR((E155-E154)/ABS(E154), "n/a"), "")</f>
        <v/>
      </c>
      <c r="G155" t="n">
        <v>98.8575</v>
      </c>
    </row>
    <row r="156">
      <c r="A156" t="inlineStr">
        <is>
          <t>2026-10-21</t>
        </is>
      </c>
      <c r="B156" t="inlineStr">
        <is>
          <t>Oil</t>
        </is>
      </c>
      <c r="C156" t="n">
        <v>160</v>
      </c>
      <c r="D156" t="n">
        <v>160</v>
      </c>
      <c r="E156" t="n">
        <v>-0.129</v>
      </c>
      <c r="F156">
        <f>IF(B155=B156, IFERROR((E156-E155)/ABS(E155), "n/a"), "")</f>
        <v/>
      </c>
      <c r="G156" t="n">
        <v>98.44750000000001</v>
      </c>
    </row>
    <row r="157">
      <c r="A157" t="inlineStr">
        <is>
          <t>2026-10-22</t>
        </is>
      </c>
      <c r="B157" t="inlineStr">
        <is>
          <t>Oil</t>
        </is>
      </c>
      <c r="C157" t="n">
        <v>160</v>
      </c>
      <c r="D157" t="n">
        <v>160</v>
      </c>
      <c r="E157" t="n">
        <v>0.95</v>
      </c>
      <c r="F157">
        <f>IF(B156=B157, IFERROR((E157-E156)/ABS(E156), "n/a"), "")</f>
        <v/>
      </c>
      <c r="G157" t="n">
        <v>99.0125</v>
      </c>
    </row>
    <row r="158">
      <c r="A158" t="inlineStr">
        <is>
          <t>2026-09-14</t>
        </is>
      </c>
      <c r="B158" t="inlineStr">
        <is>
          <t>S&amp;P 500</t>
        </is>
      </c>
      <c r="C158" t="n">
        <v>228</v>
      </c>
      <c r="D158" t="n">
        <v>237</v>
      </c>
      <c r="E158" t="n">
        <v>-1.22</v>
      </c>
      <c r="F158">
        <f>IF(B157=B158, IFERROR((E158-E157)/ABS(E157), "n/a"), "")</f>
        <v/>
      </c>
      <c r="G158" t="n">
        <v>7645.15</v>
      </c>
    </row>
    <row r="159">
      <c r="A159" t="inlineStr">
        <is>
          <t>2026-09-15</t>
        </is>
      </c>
      <c r="B159" t="inlineStr">
        <is>
          <t>S&amp;P 500</t>
        </is>
      </c>
      <c r="C159" t="n">
        <v>154</v>
      </c>
      <c r="D159" t="n">
        <v>155</v>
      </c>
      <c r="E159" t="n">
        <v>-1.495</v>
      </c>
      <c r="F159">
        <f>IF(B158=B159, IFERROR((E159-E158)/ABS(E158), "n/a"), "")</f>
        <v/>
      </c>
      <c r="G159" t="n">
        <v>7664</v>
      </c>
    </row>
    <row r="160">
      <c r="A160" t="inlineStr">
        <is>
          <t>2026-09-16</t>
        </is>
      </c>
      <c r="B160" t="inlineStr">
        <is>
          <t>S&amp;P 500</t>
        </is>
      </c>
      <c r="C160" t="n">
        <v>153</v>
      </c>
      <c r="D160" t="n">
        <v>155</v>
      </c>
      <c r="E160" t="n">
        <v>3.536</v>
      </c>
      <c r="F160">
        <f>IF(B159=B160, IFERROR((E160-E159)/ABS(E159), "n/a"), "")</f>
        <v/>
      </c>
      <c r="G160" t="n">
        <v>7665.9375</v>
      </c>
    </row>
    <row r="161">
      <c r="A161" t="inlineStr">
        <is>
          <t>2026-09-17</t>
        </is>
      </c>
      <c r="B161" t="inlineStr">
        <is>
          <t>S&amp;P 500</t>
        </is>
      </c>
      <c r="C161" t="n">
        <v>155</v>
      </c>
      <c r="D161" t="n">
        <v>158</v>
      </c>
      <c r="E161" t="n">
        <v>0.912</v>
      </c>
      <c r="F161">
        <f>IF(B160=B161, IFERROR((E161-E160)/ABS(E160), "n/a"), "")</f>
        <v/>
      </c>
      <c r="G161" t="n">
        <v>7689.6875</v>
      </c>
    </row>
    <row r="162">
      <c r="A162" t="inlineStr">
        <is>
          <t>2026-09-18</t>
        </is>
      </c>
      <c r="B162" t="inlineStr">
        <is>
          <t>S&amp;P 500</t>
        </is>
      </c>
      <c r="C162" t="n">
        <v>160</v>
      </c>
      <c r="D162" t="n">
        <v>160</v>
      </c>
      <c r="E162" t="n">
        <v>3.252</v>
      </c>
      <c r="F162">
        <f>IF(B161=B162, IFERROR((E162-E161)/ABS(E161), "n/a"), "")</f>
        <v/>
      </c>
      <c r="G162" t="n">
        <v>7712.55</v>
      </c>
    </row>
    <row r="163">
      <c r="A163" t="inlineStr">
        <is>
          <t>2026-09-19</t>
        </is>
      </c>
      <c r="B163" t="inlineStr">
        <is>
          <t>S&amp;P 500</t>
        </is>
      </c>
      <c r="C163" t="n">
        <v>200</v>
      </c>
      <c r="D163" t="n">
        <v>200</v>
      </c>
      <c r="E163" t="n">
        <v>2.97</v>
      </c>
      <c r="F163">
        <f>IF(B162=B163, IFERROR((E163-E162)/ABS(E162), "n/a"), "")</f>
        <v/>
      </c>
      <c r="G163" t="n">
        <v>7712.5</v>
      </c>
    </row>
    <row r="164">
      <c r="A164" t="inlineStr">
        <is>
          <t>2026-09-20</t>
        </is>
      </c>
      <c r="B164" t="inlineStr">
        <is>
          <t>S&amp;P 500</t>
        </is>
      </c>
      <c r="C164" t="n">
        <v>199</v>
      </c>
      <c r="D164" t="n">
        <v>200</v>
      </c>
      <c r="E164" t="n">
        <v>3.994</v>
      </c>
      <c r="F164">
        <f>IF(B163=B164, IFERROR((E164-E163)/ABS(E163), "n/a"), "")</f>
        <v/>
      </c>
      <c r="G164" t="n">
        <v>7712.5</v>
      </c>
    </row>
    <row r="165">
      <c r="A165" t="inlineStr">
        <is>
          <t>2026-09-21</t>
        </is>
      </c>
      <c r="B165" t="inlineStr">
        <is>
          <t>S&amp;P 500</t>
        </is>
      </c>
      <c r="C165" t="n">
        <v>159</v>
      </c>
      <c r="D165" t="n">
        <v>160</v>
      </c>
      <c r="E165" t="n">
        <v>0.102</v>
      </c>
      <c r="F165">
        <f>IF(B164=B165, IFERROR((E165-E164)/ABS(E164), "n/a"), "")</f>
        <v/>
      </c>
      <c r="G165" t="n">
        <v>7791.875</v>
      </c>
    </row>
    <row r="166">
      <c r="A166" t="inlineStr">
        <is>
          <t>2026-09-22</t>
        </is>
      </c>
      <c r="B166" t="inlineStr">
        <is>
          <t>S&amp;P 500</t>
        </is>
      </c>
      <c r="C166" t="n">
        <v>157</v>
      </c>
      <c r="D166" t="n">
        <v>160</v>
      </c>
      <c r="E166" t="n">
        <v>-0.046</v>
      </c>
      <c r="F166">
        <f>IF(B165=B166, IFERROR((E166-E165)/ABS(E165), "n/a"), "")</f>
        <v/>
      </c>
      <c r="G166" t="n">
        <v>7832</v>
      </c>
    </row>
    <row r="167">
      <c r="A167" t="inlineStr">
        <is>
          <t>2026-09-23</t>
        </is>
      </c>
      <c r="B167" t="inlineStr">
        <is>
          <t>S&amp;P 500</t>
        </is>
      </c>
      <c r="C167" t="n">
        <v>158</v>
      </c>
      <c r="D167" t="n">
        <v>160</v>
      </c>
      <c r="E167" t="n">
        <v>1.063</v>
      </c>
      <c r="F167">
        <f>IF(B166=B167, IFERROR((E167-E166)/ABS(E166), "n/a"), "")</f>
        <v/>
      </c>
      <c r="G167" t="n">
        <v>7806.6875</v>
      </c>
    </row>
    <row r="168">
      <c r="A168" t="inlineStr">
        <is>
          <t>2026-09-24</t>
        </is>
      </c>
      <c r="B168" t="inlineStr">
        <is>
          <t>S&amp;P 500</t>
        </is>
      </c>
      <c r="C168" t="n">
        <v>157</v>
      </c>
      <c r="D168" t="n">
        <v>160</v>
      </c>
      <c r="E168" t="n">
        <v>3.976</v>
      </c>
      <c r="F168">
        <f>IF(B167=B168, IFERROR((E168-E167)/ABS(E167), "n/a"), "")</f>
        <v/>
      </c>
      <c r="G168" t="n">
        <v>7748.875</v>
      </c>
    </row>
    <row r="169">
      <c r="A169" t="inlineStr">
        <is>
          <t>2026-09-25</t>
        </is>
      </c>
      <c r="B169" t="inlineStr">
        <is>
          <t>S&amp;P 500</t>
        </is>
      </c>
      <c r="C169" t="n">
        <v>196</v>
      </c>
      <c r="D169" t="n">
        <v>192</v>
      </c>
      <c r="E169" t="n">
        <v>1.072</v>
      </c>
      <c r="F169">
        <f>IF(B168=B169, IFERROR((E169-E168)/ABS(E168), "n/a"), "")</f>
        <v/>
      </c>
      <c r="G169" t="n">
        <v>7794</v>
      </c>
    </row>
    <row r="170">
      <c r="A170" t="inlineStr">
        <is>
          <t>2026-09-26</t>
        </is>
      </c>
      <c r="B170" t="inlineStr">
        <is>
          <t>S&amp;P 500</t>
        </is>
      </c>
      <c r="C170" t="n">
        <v>199</v>
      </c>
      <c r="D170" t="n">
        <v>200</v>
      </c>
      <c r="E170" t="n">
        <v>-0.5649999999999999</v>
      </c>
      <c r="F170">
        <f>IF(B169=B170, IFERROR((E170-E169)/ABS(E169), "n/a"), "")</f>
        <v/>
      </c>
      <c r="G170" t="n">
        <v>7804.15</v>
      </c>
    </row>
    <row r="171">
      <c r="A171" t="inlineStr">
        <is>
          <t>2026-09-27</t>
        </is>
      </c>
      <c r="B171" t="inlineStr">
        <is>
          <t>S&amp;P 500</t>
        </is>
      </c>
      <c r="C171" t="n">
        <v>158</v>
      </c>
      <c r="D171" t="n">
        <v>160</v>
      </c>
      <c r="E171" t="n">
        <v>6.14</v>
      </c>
      <c r="F171">
        <f>IF(B170=B171, IFERROR((E171-E170)/ABS(E170), "n/a"), "")</f>
        <v/>
      </c>
      <c r="G171" t="n">
        <v>7798.625</v>
      </c>
    </row>
    <row r="172">
      <c r="A172" t="inlineStr">
        <is>
          <t>2026-09-28</t>
        </is>
      </c>
      <c r="B172" t="inlineStr">
        <is>
          <t>S&amp;P 500</t>
        </is>
      </c>
      <c r="C172" t="n">
        <v>78</v>
      </c>
      <c r="D172" t="n">
        <v>80</v>
      </c>
      <c r="E172" t="n">
        <v>8.507999999999999</v>
      </c>
      <c r="F172">
        <f>IF(B171=B172, IFERROR((E172-E171)/ABS(E171), "n/a"), "")</f>
        <v/>
      </c>
      <c r="G172" t="n">
        <v>7770</v>
      </c>
    </row>
    <row r="173">
      <c r="A173" t="inlineStr">
        <is>
          <t>2026-09-29</t>
        </is>
      </c>
      <c r="B173" t="inlineStr">
        <is>
          <t>S&amp;P 500</t>
        </is>
      </c>
      <c r="C173" t="n">
        <v>156</v>
      </c>
      <c r="D173" t="n">
        <v>159</v>
      </c>
      <c r="E173" t="n">
        <v>8.119999999999999</v>
      </c>
      <c r="F173">
        <f>IF(B172=B173, IFERROR((E173-E172)/ABS(E172), "n/a"), "")</f>
        <v/>
      </c>
      <c r="G173" t="n">
        <v>7739.25</v>
      </c>
    </row>
    <row r="174">
      <c r="A174" t="inlineStr">
        <is>
          <t>2026-09-30</t>
        </is>
      </c>
      <c r="B174" t="inlineStr">
        <is>
          <t>S&amp;P 500</t>
        </is>
      </c>
      <c r="C174" t="n">
        <v>117</v>
      </c>
      <c r="D174" t="n">
        <v>119</v>
      </c>
      <c r="E174" t="n">
        <v>7.649</v>
      </c>
      <c r="F174">
        <f>IF(B173=B174, IFERROR((E174-E173)/ABS(E173), "n/a"), "")</f>
        <v/>
      </c>
      <c r="G174" t="n">
        <v>7745.6667</v>
      </c>
    </row>
    <row r="175">
      <c r="A175" t="inlineStr">
        <is>
          <t>2026-10-01</t>
        </is>
      </c>
      <c r="B175" t="inlineStr">
        <is>
          <t>S&amp;P 500</t>
        </is>
      </c>
      <c r="C175" t="n">
        <v>115</v>
      </c>
      <c r="D175" t="n">
        <v>120</v>
      </c>
      <c r="E175" t="n">
        <v>8.207000000000001</v>
      </c>
      <c r="F175">
        <f>IF(B174=B175, IFERROR((E175-E174)/ABS(E174), "n/a"), "")</f>
        <v/>
      </c>
      <c r="G175" t="n">
        <v>7718.5</v>
      </c>
    </row>
    <row r="176">
      <c r="A176" t="inlineStr">
        <is>
          <t>2026-10-02</t>
        </is>
      </c>
      <c r="B176" t="inlineStr">
        <is>
          <t>S&amp;P 500</t>
        </is>
      </c>
      <c r="C176" t="n">
        <v>114</v>
      </c>
      <c r="D176" t="n">
        <v>120</v>
      </c>
      <c r="E176" t="n">
        <v>6.817</v>
      </c>
      <c r="F176">
        <f>IF(B175=B176, IFERROR((E176-E175)/ABS(E175), "n/a"), "")</f>
        <v/>
      </c>
      <c r="G176" t="n">
        <v>7776.5</v>
      </c>
    </row>
    <row r="177">
      <c r="A177" t="inlineStr">
        <is>
          <t>2026-10-03</t>
        </is>
      </c>
      <c r="B177" t="inlineStr">
        <is>
          <t>S&amp;P 500</t>
        </is>
      </c>
      <c r="C177" t="n">
        <v>156</v>
      </c>
      <c r="D177" t="n">
        <v>159</v>
      </c>
      <c r="E177" t="n">
        <v>6.478</v>
      </c>
      <c r="F177">
        <f>IF(B176=B177, IFERROR((E177-E176)/ABS(E176), "n/a"), "")</f>
        <v/>
      </c>
      <c r="G177" t="n">
        <v>7777.0625</v>
      </c>
    </row>
    <row r="178">
      <c r="A178" t="inlineStr">
        <is>
          <t>2026-10-04</t>
        </is>
      </c>
      <c r="B178" t="inlineStr">
        <is>
          <t>S&amp;P 500</t>
        </is>
      </c>
      <c r="C178" t="n">
        <v>152</v>
      </c>
      <c r="D178" t="n">
        <v>158</v>
      </c>
      <c r="E178" t="n">
        <v>7.192</v>
      </c>
      <c r="F178">
        <f>IF(B177=B178, IFERROR((E178-E177)/ABS(E177), "n/a"), "")</f>
        <v/>
      </c>
      <c r="G178" t="n">
        <v>7779.75</v>
      </c>
    </row>
    <row r="179">
      <c r="A179" t="inlineStr">
        <is>
          <t>2026-10-05</t>
        </is>
      </c>
      <c r="B179" t="inlineStr">
        <is>
          <t>S&amp;P 500</t>
        </is>
      </c>
      <c r="C179" t="n">
        <v>77</v>
      </c>
      <c r="D179" t="n">
        <v>79</v>
      </c>
      <c r="E179" t="n">
        <v>7.176</v>
      </c>
      <c r="F179">
        <f>IF(B178=B179, IFERROR((E179-E178)/ABS(E178), "n/a"), "")</f>
        <v/>
      </c>
      <c r="G179" t="n">
        <v>7798.125</v>
      </c>
    </row>
    <row r="180">
      <c r="A180" t="inlineStr">
        <is>
          <t>2026-10-06</t>
        </is>
      </c>
      <c r="B180" t="inlineStr">
        <is>
          <t>S&amp;P 500</t>
        </is>
      </c>
      <c r="C180" t="n">
        <v>155</v>
      </c>
      <c r="D180" t="n">
        <v>160</v>
      </c>
      <c r="E180" t="n">
        <v>4.085</v>
      </c>
      <c r="F180">
        <f>IF(B179=B180, IFERROR((E180-E179)/ABS(E179), "n/a"), "")</f>
        <v/>
      </c>
      <c r="G180" t="n">
        <v>7861.9375</v>
      </c>
    </row>
    <row r="181">
      <c r="A181" t="inlineStr">
        <is>
          <t>2026-10-07</t>
        </is>
      </c>
      <c r="B181" t="inlineStr">
        <is>
          <t>S&amp;P 500</t>
        </is>
      </c>
      <c r="C181" t="n">
        <v>79</v>
      </c>
      <c r="D181" t="n">
        <v>79</v>
      </c>
      <c r="E181" t="n">
        <v>2.434</v>
      </c>
      <c r="F181">
        <f>IF(B180=B181, IFERROR((E181-E180)/ABS(E180), "n/a"), "")</f>
        <v/>
      </c>
      <c r="G181" t="n">
        <v>7864.125</v>
      </c>
    </row>
    <row r="182">
      <c r="A182" t="inlineStr">
        <is>
          <t>2026-10-08</t>
        </is>
      </c>
      <c r="B182" t="inlineStr">
        <is>
          <t>S&amp;P 500</t>
        </is>
      </c>
      <c r="C182" t="n">
        <v>118</v>
      </c>
      <c r="D182" t="n">
        <v>120</v>
      </c>
      <c r="E182" t="n">
        <v>5.102</v>
      </c>
      <c r="F182">
        <f>IF(B181=B182, IFERROR((E182-E181)/ABS(E181), "n/a"), "")</f>
        <v/>
      </c>
      <c r="G182" t="n">
        <v>7834.25</v>
      </c>
    </row>
    <row r="183">
      <c r="A183" t="inlineStr">
        <is>
          <t>2026-10-09</t>
        </is>
      </c>
      <c r="B183" t="inlineStr">
        <is>
          <t>S&amp;P 500</t>
        </is>
      </c>
      <c r="C183" t="n">
        <v>115</v>
      </c>
      <c r="D183" t="n">
        <v>119</v>
      </c>
      <c r="E183" t="n">
        <v>1.185</v>
      </c>
      <c r="F183">
        <f>IF(B182=B183, IFERROR((E183-E182)/ABS(E182), "n/a"), "")</f>
        <v/>
      </c>
      <c r="G183" t="n">
        <v>7848.4167</v>
      </c>
    </row>
    <row r="184">
      <c r="A184" t="inlineStr">
        <is>
          <t>2026-10-10</t>
        </is>
      </c>
      <c r="B184" t="inlineStr">
        <is>
          <t>S&amp;P 500</t>
        </is>
      </c>
      <c r="C184" t="n">
        <v>153</v>
      </c>
      <c r="D184" t="n">
        <v>160</v>
      </c>
      <c r="E184" t="n">
        <v>1.827</v>
      </c>
      <c r="F184">
        <f>IF(B183=B184, IFERROR((E184-E183)/ABS(E183), "n/a"), "")</f>
        <v/>
      </c>
      <c r="G184" t="n">
        <v>7861.3125</v>
      </c>
    </row>
    <row r="185">
      <c r="A185" t="inlineStr">
        <is>
          <t>2026-10-11</t>
        </is>
      </c>
      <c r="B185" t="inlineStr">
        <is>
          <t>S&amp;P 500</t>
        </is>
      </c>
      <c r="C185" t="n">
        <v>155</v>
      </c>
      <c r="D185" t="n">
        <v>157</v>
      </c>
      <c r="E185" t="n">
        <v>5.242</v>
      </c>
      <c r="F185">
        <f>IF(B184=B185, IFERROR((E185-E184)/ABS(E184), "n/a"), "")</f>
        <v/>
      </c>
      <c r="G185" t="n">
        <v>7863.5625</v>
      </c>
    </row>
    <row r="186">
      <c r="A186" t="inlineStr">
        <is>
          <t>2026-10-12</t>
        </is>
      </c>
      <c r="B186" t="inlineStr">
        <is>
          <t>S&amp;P 500</t>
        </is>
      </c>
      <c r="C186" t="n">
        <v>77</v>
      </c>
      <c r="D186" t="n">
        <v>79</v>
      </c>
      <c r="E186" t="n">
        <v>6.429</v>
      </c>
      <c r="F186">
        <f>IF(B185=B186, IFERROR((E186-E185)/ABS(E185), "n/a"), "")</f>
        <v/>
      </c>
      <c r="G186" t="n">
        <v>7870.5</v>
      </c>
    </row>
    <row r="187">
      <c r="A187" t="inlineStr">
        <is>
          <t>2026-10-13</t>
        </is>
      </c>
      <c r="B187" t="inlineStr">
        <is>
          <t>S&amp;P 500</t>
        </is>
      </c>
      <c r="C187" t="n">
        <v>156</v>
      </c>
      <c r="D187" t="n">
        <v>160</v>
      </c>
      <c r="E187" t="n">
        <v>4.642</v>
      </c>
      <c r="F187">
        <f>IF(B186=B187, IFERROR((E187-E186)/ABS(E186), "n/a"), "")</f>
        <v/>
      </c>
      <c r="G187" t="n">
        <v>7849.25</v>
      </c>
    </row>
    <row r="188">
      <c r="A188" t="inlineStr">
        <is>
          <t>2026-10-14</t>
        </is>
      </c>
      <c r="B188" t="inlineStr">
        <is>
          <t>S&amp;P 500</t>
        </is>
      </c>
      <c r="C188" t="n">
        <v>151</v>
      </c>
      <c r="D188" t="n">
        <v>158</v>
      </c>
      <c r="E188" t="n">
        <v>5.773</v>
      </c>
      <c r="F188">
        <f>IF(B187=B188, IFERROR((E188-E187)/ABS(E187), "n/a"), "")</f>
        <v/>
      </c>
      <c r="G188" t="n">
        <v>7815.8125</v>
      </c>
    </row>
    <row r="189">
      <c r="A189" t="inlineStr">
        <is>
          <t>2026-10-15</t>
        </is>
      </c>
      <c r="B189" t="inlineStr">
        <is>
          <t>S&amp;P 500</t>
        </is>
      </c>
      <c r="C189" t="n">
        <v>150</v>
      </c>
      <c r="D189" t="n">
        <v>156</v>
      </c>
      <c r="E189" t="n">
        <v>7.571</v>
      </c>
      <c r="F189">
        <f>IF(B188=B189, IFERROR((E189-E188)/ABS(E188), "n/a"), "")</f>
        <v/>
      </c>
      <c r="G189" t="n">
        <v>7758.9375</v>
      </c>
    </row>
    <row r="190">
      <c r="A190" t="inlineStr">
        <is>
          <t>2026-10-16</t>
        </is>
      </c>
      <c r="B190" t="inlineStr">
        <is>
          <t>S&amp;P 500</t>
        </is>
      </c>
      <c r="C190" t="n">
        <v>153</v>
      </c>
      <c r="D190" t="n">
        <v>150</v>
      </c>
      <c r="E190" t="n">
        <v>7.075</v>
      </c>
      <c r="F190">
        <f>IF(B189=B190, IFERROR((E190-E189)/ABS(E189), "n/a"), "")</f>
        <v/>
      </c>
      <c r="G190" t="n">
        <v>7760.625</v>
      </c>
    </row>
    <row r="191">
      <c r="A191" t="inlineStr">
        <is>
          <t>2026-10-17</t>
        </is>
      </c>
      <c r="B191" t="inlineStr">
        <is>
          <t>S&amp;P 500</t>
        </is>
      </c>
      <c r="C191" t="n">
        <v>199</v>
      </c>
      <c r="D191" t="n">
        <v>192</v>
      </c>
      <c r="E191" t="n">
        <v>8.451000000000001</v>
      </c>
      <c r="F191">
        <f>IF(B190=B191, IFERROR((E191-E190)/ABS(E190), "n/a"), "")</f>
        <v/>
      </c>
      <c r="G191" t="n">
        <v>7703.75</v>
      </c>
    </row>
    <row r="192">
      <c r="A192" t="inlineStr">
        <is>
          <t>2026-10-18</t>
        </is>
      </c>
      <c r="B192" t="inlineStr">
        <is>
          <t>S&amp;P 500</t>
        </is>
      </c>
      <c r="C192" t="n">
        <v>199</v>
      </c>
      <c r="D192" t="n">
        <v>191</v>
      </c>
      <c r="E192" t="n">
        <v>6.662</v>
      </c>
      <c r="F192">
        <f>IF(B191=B192, IFERROR((E192-E191)/ABS(E191), "n/a"), "")</f>
        <v/>
      </c>
      <c r="G192" t="n">
        <v>7704.25</v>
      </c>
    </row>
    <row r="193">
      <c r="A193" t="inlineStr">
        <is>
          <t>2026-10-19</t>
        </is>
      </c>
      <c r="B193" t="inlineStr">
        <is>
          <t>S&amp;P 500</t>
        </is>
      </c>
      <c r="C193" t="n">
        <v>160</v>
      </c>
      <c r="D193" t="n">
        <v>152</v>
      </c>
      <c r="E193" t="n">
        <v>3.709</v>
      </c>
      <c r="F193">
        <f>IF(B192=B193, IFERROR((E193-E192)/ABS(E192), "n/a"), "")</f>
        <v/>
      </c>
      <c r="G193" t="n">
        <v>7750.0625</v>
      </c>
    </row>
    <row r="194">
      <c r="A194" t="inlineStr">
        <is>
          <t>2026-10-20</t>
        </is>
      </c>
      <c r="B194" t="inlineStr">
        <is>
          <t>S&amp;P 500</t>
        </is>
      </c>
      <c r="C194" t="n">
        <v>157</v>
      </c>
      <c r="D194" t="n">
        <v>155</v>
      </c>
      <c r="E194" t="n">
        <v>2.733</v>
      </c>
      <c r="F194">
        <f>IF(B193=B194, IFERROR((E194-E193)/ABS(E193), "n/a"), "")</f>
        <v/>
      </c>
      <c r="G194" t="n">
        <v>7751.5</v>
      </c>
    </row>
    <row r="195">
      <c r="A195" t="inlineStr">
        <is>
          <t>2026-10-21</t>
        </is>
      </c>
      <c r="B195" t="inlineStr">
        <is>
          <t>S&amp;P 500</t>
        </is>
      </c>
      <c r="C195" t="n">
        <v>157</v>
      </c>
      <c r="D195" t="n">
        <v>154</v>
      </c>
      <c r="E195" t="n">
        <v>-0.595</v>
      </c>
      <c r="F195">
        <f>IF(B194=B195, IFERROR((E195-E194)/ABS(E194), "n/a"), "")</f>
        <v/>
      </c>
      <c r="G195" t="n">
        <v>7777.5</v>
      </c>
    </row>
    <row r="196">
      <c r="A196" t="inlineStr">
        <is>
          <t>2026-10-22</t>
        </is>
      </c>
      <c r="B196" t="inlineStr">
        <is>
          <t>S&amp;P 500</t>
        </is>
      </c>
      <c r="C196" t="n">
        <v>159</v>
      </c>
      <c r="D196" t="n">
        <v>153</v>
      </c>
      <c r="E196" t="n">
        <v>1.578</v>
      </c>
      <c r="F196">
        <f>IF(B195=B196, IFERROR((E196-E195)/ABS(E195), "n/a"), "")</f>
        <v/>
      </c>
      <c r="G196" t="n">
        <v>7720.75</v>
      </c>
    </row>
    <row r="197">
      <c r="A197" t="inlineStr">
        <is>
          <t>2026-09-14</t>
        </is>
      </c>
      <c r="B197" t="inlineStr">
        <is>
          <t>US Dollar</t>
        </is>
      </c>
      <c r="C197" t="n">
        <v>224</v>
      </c>
      <c r="D197" t="n">
        <v>232</v>
      </c>
      <c r="E197" t="n">
        <v>4.065</v>
      </c>
      <c r="F197">
        <f>IF(B196=B197, IFERROR((E197-E196)/ABS(E196), "n/a"), "")</f>
        <v/>
      </c>
      <c r="G197" t="n">
        <v>99.5022</v>
      </c>
    </row>
    <row r="198">
      <c r="A198" t="inlineStr">
        <is>
          <t>2026-09-15</t>
        </is>
      </c>
      <c r="B198" t="inlineStr">
        <is>
          <t>US Dollar</t>
        </is>
      </c>
      <c r="C198" t="n">
        <v>152</v>
      </c>
      <c r="D198" t="n">
        <v>158</v>
      </c>
      <c r="E198" t="n">
        <v>1.065</v>
      </c>
      <c r="F198">
        <f>IF(B197=B198, IFERROR((E198-E197)/ABS(E197), "n/a"), "")</f>
        <v/>
      </c>
      <c r="G198" t="n">
        <v>99.6268</v>
      </c>
    </row>
    <row r="199">
      <c r="A199" t="inlineStr">
        <is>
          <t>2026-09-16</t>
        </is>
      </c>
      <c r="B199" t="inlineStr">
        <is>
          <t>US Dollar</t>
        </is>
      </c>
      <c r="C199" t="n">
        <v>155</v>
      </c>
      <c r="D199" t="n">
        <v>158</v>
      </c>
      <c r="E199" t="n">
        <v>2.599</v>
      </c>
      <c r="F199">
        <f>IF(B198=B199, IFERROR((E199-E198)/ABS(E198), "n/a"), "")</f>
        <v/>
      </c>
      <c r="G199" t="n">
        <v>99.84050000000001</v>
      </c>
    </row>
    <row r="200">
      <c r="A200" t="inlineStr">
        <is>
          <t>2026-09-17</t>
        </is>
      </c>
      <c r="B200" t="inlineStr">
        <is>
          <t>US Dollar</t>
        </is>
      </c>
      <c r="C200" t="n">
        <v>156</v>
      </c>
      <c r="D200" t="n">
        <v>158</v>
      </c>
      <c r="E200" t="n">
        <v>1.162</v>
      </c>
      <c r="F200">
        <f>IF(B199=B200, IFERROR((E200-E199)/ABS(E199), "n/a"), "")</f>
        <v/>
      </c>
      <c r="G200" t="n">
        <v>100.241</v>
      </c>
    </row>
    <row r="201">
      <c r="A201" t="inlineStr">
        <is>
          <t>2026-09-18</t>
        </is>
      </c>
      <c r="B201" t="inlineStr">
        <is>
          <t>US Dollar</t>
        </is>
      </c>
      <c r="C201" t="n">
        <v>156</v>
      </c>
      <c r="D201" t="n">
        <v>156</v>
      </c>
      <c r="E201" t="n">
        <v>3.518</v>
      </c>
      <c r="F201">
        <f>IF(B200=B201, IFERROR((E201-E200)/ABS(E200), "n/a"), "")</f>
        <v/>
      </c>
      <c r="G201" t="n">
        <v>100.2984</v>
      </c>
    </row>
    <row r="202">
      <c r="A202" t="inlineStr">
        <is>
          <t>2026-09-19</t>
        </is>
      </c>
      <c r="B202" t="inlineStr">
        <is>
          <t>US Dollar</t>
        </is>
      </c>
      <c r="C202" t="n">
        <v>193</v>
      </c>
      <c r="D202" t="n">
        <v>197</v>
      </c>
      <c r="E202" t="n">
        <v>4.516</v>
      </c>
      <c r="F202">
        <f>IF(B201=B202, IFERROR((E202-E201)/ABS(E201), "n/a"), "")</f>
        <v/>
      </c>
      <c r="G202" t="n">
        <v>100.215</v>
      </c>
    </row>
    <row r="203">
      <c r="A203" t="inlineStr">
        <is>
          <t>2026-09-20</t>
        </is>
      </c>
      <c r="B203" t="inlineStr">
        <is>
          <t>US Dollar</t>
        </is>
      </c>
      <c r="C203" t="n">
        <v>195</v>
      </c>
      <c r="D203" t="n">
        <v>199</v>
      </c>
      <c r="E203" t="n">
        <v>4.616</v>
      </c>
      <c r="F203">
        <f>IF(B202=B203, IFERROR((E203-E202)/ABS(E202), "n/a"), "")</f>
        <v/>
      </c>
      <c r="G203" t="n">
        <v>100.214</v>
      </c>
    </row>
    <row r="204">
      <c r="A204" t="inlineStr">
        <is>
          <t>2026-09-21</t>
        </is>
      </c>
      <c r="B204" t="inlineStr">
        <is>
          <t>US Dollar</t>
        </is>
      </c>
      <c r="C204" t="n">
        <v>156</v>
      </c>
      <c r="D204" t="n">
        <v>156</v>
      </c>
      <c r="E204" t="n">
        <v>6.402</v>
      </c>
      <c r="F204">
        <f>IF(B203=B204, IFERROR((E204-E203)/ABS(E203), "n/a"), "")</f>
        <v/>
      </c>
      <c r="G204" t="n">
        <v>100.3642</v>
      </c>
    </row>
    <row r="205">
      <c r="A205" t="inlineStr">
        <is>
          <t>2026-09-22</t>
        </is>
      </c>
      <c r="B205" t="inlineStr">
        <is>
          <t>US Dollar</t>
        </is>
      </c>
      <c r="C205" t="n">
        <v>156</v>
      </c>
      <c r="D205" t="n">
        <v>157</v>
      </c>
      <c r="E205" t="n">
        <v>3.907</v>
      </c>
      <c r="F205">
        <f>IF(B204=B205, IFERROR((E205-E204)/ABS(E204), "n/a"), "")</f>
        <v/>
      </c>
      <c r="G205" t="n">
        <v>100.5027</v>
      </c>
    </row>
    <row r="206">
      <c r="A206" t="inlineStr">
        <is>
          <t>2026-09-23</t>
        </is>
      </c>
      <c r="B206" t="inlineStr">
        <is>
          <t>US Dollar</t>
        </is>
      </c>
      <c r="C206" t="n">
        <v>154</v>
      </c>
      <c r="D206" t="n">
        <v>159</v>
      </c>
      <c r="E206" t="n">
        <v>1.556</v>
      </c>
      <c r="F206">
        <f>IF(B205=B206, IFERROR((E206-E205)/ABS(E205), "n/a"), "")</f>
        <v/>
      </c>
      <c r="G206" t="n">
        <v>100.9125</v>
      </c>
    </row>
    <row r="207">
      <c r="A207" t="inlineStr">
        <is>
          <t>2026-09-24</t>
        </is>
      </c>
      <c r="B207" t="inlineStr">
        <is>
          <t>US Dollar</t>
        </is>
      </c>
      <c r="C207" t="n">
        <v>158</v>
      </c>
      <c r="D207" t="n">
        <v>158</v>
      </c>
      <c r="E207" t="n">
        <v>2.098</v>
      </c>
      <c r="F207">
        <f>IF(B206=B207, IFERROR((E207-E206)/ABS(E206), "n/a"), "")</f>
        <v/>
      </c>
      <c r="G207" t="n">
        <v>101.1772</v>
      </c>
    </row>
    <row r="208">
      <c r="A208" t="inlineStr">
        <is>
          <t>2026-09-25</t>
        </is>
      </c>
      <c r="B208" t="inlineStr">
        <is>
          <t>US Dollar</t>
        </is>
      </c>
      <c r="C208" t="n">
        <v>195</v>
      </c>
      <c r="D208" t="n">
        <v>199</v>
      </c>
      <c r="E208" t="n">
        <v>2.877</v>
      </c>
      <c r="F208">
        <f>IF(B207=B208, IFERROR((E208-E207)/ABS(E207), "n/a"), "")</f>
        <v/>
      </c>
      <c r="G208" t="n">
        <v>101.0876</v>
      </c>
    </row>
    <row r="209">
      <c r="A209" t="inlineStr">
        <is>
          <t>2026-09-26</t>
        </is>
      </c>
      <c r="B209" t="inlineStr">
        <is>
          <t>US Dollar</t>
        </is>
      </c>
      <c r="C209" t="n">
        <v>196</v>
      </c>
      <c r="D209" t="n">
        <v>200</v>
      </c>
      <c r="E209" t="n">
        <v>1.82</v>
      </c>
      <c r="F209">
        <f>IF(B208=B209, IFERROR((E209-E208)/ABS(E208), "n/a"), "")</f>
        <v/>
      </c>
      <c r="G209" t="n">
        <v>101.035</v>
      </c>
    </row>
    <row r="210">
      <c r="A210" t="inlineStr">
        <is>
          <t>2026-09-27</t>
        </is>
      </c>
      <c r="B210" t="inlineStr">
        <is>
          <t>US Dollar</t>
        </is>
      </c>
      <c r="C210" t="n">
        <v>157</v>
      </c>
      <c r="D210" t="n">
        <v>160</v>
      </c>
      <c r="E210" t="n">
        <v>1.424</v>
      </c>
      <c r="F210">
        <f>IF(B209=B210, IFERROR((E210-E209)/ABS(E209), "n/a"), "")</f>
        <v/>
      </c>
      <c r="G210" t="n">
        <v>101.035</v>
      </c>
    </row>
    <row r="211">
      <c r="A211" t="inlineStr">
        <is>
          <t>2026-09-28</t>
        </is>
      </c>
      <c r="B211" t="inlineStr">
        <is>
          <t>US Dollar</t>
        </is>
      </c>
      <c r="C211" t="n">
        <v>80</v>
      </c>
      <c r="D211" t="n">
        <v>80</v>
      </c>
      <c r="E211" t="n">
        <v>0.538</v>
      </c>
      <c r="F211">
        <f>IF(B210=B211, IFERROR((E211-E210)/ABS(E210), "n/a"), "")</f>
        <v/>
      </c>
      <c r="G211" t="n">
        <v>101.126</v>
      </c>
    </row>
    <row r="212">
      <c r="A212" t="inlineStr">
        <is>
          <t>2026-09-29</t>
        </is>
      </c>
      <c r="B212" t="inlineStr">
        <is>
          <t>US Dollar</t>
        </is>
      </c>
      <c r="C212" t="n">
        <v>160</v>
      </c>
      <c r="D212" t="n">
        <v>160</v>
      </c>
      <c r="E212" t="n">
        <v>-2.561</v>
      </c>
      <c r="F212">
        <f>IF(B211=B212, IFERROR((E212-E211)/ABS(E211), "n/a"), "")</f>
        <v/>
      </c>
      <c r="G212" t="n">
        <v>101.4082</v>
      </c>
    </row>
    <row r="213">
      <c r="A213" t="inlineStr">
        <is>
          <t>2026-09-30</t>
        </is>
      </c>
      <c r="B213" t="inlineStr">
        <is>
          <t>US Dollar</t>
        </is>
      </c>
      <c r="C213" t="n">
        <v>118</v>
      </c>
      <c r="D213" t="n">
        <v>120</v>
      </c>
      <c r="E213" t="n">
        <v>0.736</v>
      </c>
      <c r="F213">
        <f>IF(B212=B213, IFERROR((E213-E212)/ABS(E212), "n/a"), "")</f>
        <v/>
      </c>
      <c r="G213" t="n">
        <v>101.385</v>
      </c>
    </row>
    <row r="214">
      <c r="A214" t="inlineStr">
        <is>
          <t>2026-10-01</t>
        </is>
      </c>
      <c r="B214" t="inlineStr">
        <is>
          <t>US Dollar</t>
        </is>
      </c>
      <c r="C214" t="n">
        <v>119</v>
      </c>
      <c r="D214" t="n">
        <v>120</v>
      </c>
      <c r="E214" t="n">
        <v>2.138</v>
      </c>
      <c r="F214">
        <f>IF(B213=B214, IFERROR((E214-E213)/ABS(E213), "n/a"), "")</f>
        <v/>
      </c>
      <c r="G214" t="n">
        <v>101.8527</v>
      </c>
    </row>
    <row r="215">
      <c r="A215" t="inlineStr">
        <is>
          <t>2026-10-02</t>
        </is>
      </c>
      <c r="B215" t="inlineStr">
        <is>
          <t>US Dollar</t>
        </is>
      </c>
      <c r="C215" t="n">
        <v>118</v>
      </c>
      <c r="D215" t="n">
        <v>120</v>
      </c>
      <c r="E215" t="n">
        <v>1.546</v>
      </c>
      <c r="F215">
        <f>IF(B214=B215, IFERROR((E215-E214)/ABS(E214), "n/a"), "")</f>
        <v/>
      </c>
      <c r="G215" t="n">
        <v>101.8533</v>
      </c>
    </row>
    <row r="216">
      <c r="A216" t="inlineStr">
        <is>
          <t>2026-10-03</t>
        </is>
      </c>
      <c r="B216" t="inlineStr">
        <is>
          <t>US Dollar</t>
        </is>
      </c>
      <c r="C216" t="n">
        <v>154</v>
      </c>
      <c r="D216" t="n">
        <v>160</v>
      </c>
      <c r="E216" t="n">
        <v>1.091</v>
      </c>
      <c r="F216">
        <f>IF(B215=B216, IFERROR((E216-E215)/ABS(E215), "n/a"), "")</f>
        <v/>
      </c>
      <c r="G216" t="n">
        <v>101.924</v>
      </c>
    </row>
    <row r="217">
      <c r="A217" t="inlineStr">
        <is>
          <t>2026-10-04</t>
        </is>
      </c>
      <c r="B217" t="inlineStr">
        <is>
          <t>US Dollar</t>
        </is>
      </c>
      <c r="C217" t="n">
        <v>152</v>
      </c>
      <c r="D217" t="n">
        <v>160</v>
      </c>
      <c r="E217" t="n">
        <v>2.312</v>
      </c>
      <c r="F217">
        <f>IF(B216=B217, IFERROR((E217-E216)/ABS(E216), "n/a"), "")</f>
        <v/>
      </c>
      <c r="G217" t="n">
        <v>101.9143</v>
      </c>
    </row>
    <row r="218">
      <c r="A218" t="inlineStr">
        <is>
          <t>2026-10-05</t>
        </is>
      </c>
      <c r="B218" t="inlineStr">
        <is>
          <t>US Dollar</t>
        </is>
      </c>
      <c r="C218" t="n">
        <v>76</v>
      </c>
      <c r="D218" t="n">
        <v>80</v>
      </c>
      <c r="E218" t="n">
        <v>1.454</v>
      </c>
      <c r="F218">
        <f>IF(B217=B218, IFERROR((E218-E217)/ABS(E217), "n/a"), "")</f>
        <v/>
      </c>
      <c r="G218" t="n">
        <v>102.377</v>
      </c>
    </row>
    <row r="219">
      <c r="A219" t="inlineStr">
        <is>
          <t>2026-10-06</t>
        </is>
      </c>
      <c r="B219" t="inlineStr">
        <is>
          <t>US Dollar</t>
        </is>
      </c>
      <c r="C219" t="n">
        <v>157</v>
      </c>
      <c r="D219" t="n">
        <v>160</v>
      </c>
      <c r="E219" t="n">
        <v>0.577</v>
      </c>
      <c r="F219">
        <f>IF(B218=B219, IFERROR((E219-E218)/ABS(E218), "n/a"), "")</f>
        <v/>
      </c>
      <c r="G219" t="n">
        <v>101.9475</v>
      </c>
    </row>
    <row r="220">
      <c r="A220" t="inlineStr">
        <is>
          <t>2026-10-07</t>
        </is>
      </c>
      <c r="B220" t="inlineStr">
        <is>
          <t>US Dollar</t>
        </is>
      </c>
      <c r="C220" t="n">
        <v>78</v>
      </c>
      <c r="D220" t="n">
        <v>80</v>
      </c>
      <c r="E220" t="n">
        <v>2.276</v>
      </c>
      <c r="F220">
        <f>IF(B219=B220, IFERROR((E220-E219)/ABS(E219), "n/a"), "")</f>
        <v/>
      </c>
      <c r="G220" t="n">
        <v>102.1805</v>
      </c>
    </row>
    <row r="221">
      <c r="A221" t="inlineStr">
        <is>
          <t>2026-10-08</t>
        </is>
      </c>
      <c r="B221" t="inlineStr">
        <is>
          <t>US Dollar</t>
        </is>
      </c>
      <c r="C221" t="n">
        <v>120</v>
      </c>
      <c r="D221" t="n">
        <v>120</v>
      </c>
      <c r="E221" t="n">
        <v>3.926</v>
      </c>
      <c r="F221">
        <f>IF(B220=B221, IFERROR((E221-E220)/ABS(E220), "n/a"), "")</f>
        <v/>
      </c>
      <c r="G221" t="n">
        <v>102.1853</v>
      </c>
    </row>
    <row r="222">
      <c r="A222" t="inlineStr">
        <is>
          <t>2026-10-09</t>
        </is>
      </c>
      <c r="B222" t="inlineStr">
        <is>
          <t>US Dollar</t>
        </is>
      </c>
      <c r="C222" t="n">
        <v>120</v>
      </c>
      <c r="D222" t="n">
        <v>120</v>
      </c>
      <c r="E222" t="n">
        <v>3.027</v>
      </c>
      <c r="F222">
        <f>IF(B221=B222, IFERROR((E222-E221)/ABS(E221), "n/a"), "")</f>
        <v/>
      </c>
      <c r="G222" t="n">
        <v>102.172</v>
      </c>
    </row>
    <row r="223">
      <c r="A223" t="inlineStr">
        <is>
          <t>2026-10-10</t>
        </is>
      </c>
      <c r="B223" t="inlineStr">
        <is>
          <t>US Dollar</t>
        </is>
      </c>
      <c r="C223" t="n">
        <v>160</v>
      </c>
      <c r="D223" t="n">
        <v>160</v>
      </c>
      <c r="E223" t="n">
        <v>1.114</v>
      </c>
      <c r="F223">
        <f>IF(B222=B223, IFERROR((E223-E222)/ABS(E222), "n/a"), "")</f>
        <v/>
      </c>
      <c r="G223" t="n">
        <v>102.231</v>
      </c>
    </row>
    <row r="224">
      <c r="A224" t="inlineStr">
        <is>
          <t>2026-10-11</t>
        </is>
      </c>
      <c r="B224" t="inlineStr">
        <is>
          <t>US Dollar</t>
        </is>
      </c>
      <c r="C224" t="n">
        <v>160</v>
      </c>
      <c r="D224" t="n">
        <v>160</v>
      </c>
      <c r="E224" t="n">
        <v>1.738</v>
      </c>
      <c r="F224">
        <f>IF(B223=B224, IFERROR((E224-E223)/ABS(E223), "n/a"), "")</f>
        <v/>
      </c>
      <c r="G224" t="n">
        <v>102.2328</v>
      </c>
    </row>
    <row r="225">
      <c r="A225" t="inlineStr">
        <is>
          <t>2026-10-12</t>
        </is>
      </c>
      <c r="B225" t="inlineStr">
        <is>
          <t>US Dollar</t>
        </is>
      </c>
      <c r="C225" t="n">
        <v>80</v>
      </c>
      <c r="D225" t="n">
        <v>80</v>
      </c>
      <c r="E225" t="n">
        <v>1.148</v>
      </c>
      <c r="F225">
        <f>IF(B224=B225, IFERROR((E225-E224)/ABS(E224), "n/a"), "")</f>
        <v/>
      </c>
      <c r="G225" t="n">
        <v>102.367</v>
      </c>
    </row>
    <row r="226">
      <c r="A226" t="inlineStr">
        <is>
          <t>2026-10-13</t>
        </is>
      </c>
      <c r="B226" t="inlineStr">
        <is>
          <t>US Dollar</t>
        </is>
      </c>
      <c r="C226" t="n">
        <v>160</v>
      </c>
      <c r="D226" t="n">
        <v>160</v>
      </c>
      <c r="E226" t="n">
        <v>-0.172</v>
      </c>
      <c r="F226">
        <f>IF(B225=B226, IFERROR((E226-E225)/ABS(E225), "n/a"), "")</f>
        <v/>
      </c>
      <c r="G226" t="n">
        <v>102.288</v>
      </c>
    </row>
    <row r="227">
      <c r="A227" t="inlineStr">
        <is>
          <t>2026-10-14</t>
        </is>
      </c>
      <c r="B227" t="inlineStr">
        <is>
          <t>US Dollar</t>
        </is>
      </c>
      <c r="C227" t="n">
        <v>160</v>
      </c>
      <c r="D227" t="n">
        <v>160</v>
      </c>
      <c r="E227" t="n">
        <v>4.048</v>
      </c>
      <c r="F227">
        <f>IF(B226=B227, IFERROR((E227-E226)/ABS(E226), "n/a"), "")</f>
        <v/>
      </c>
      <c r="G227" t="n">
        <v>102.4245</v>
      </c>
    </row>
    <row r="228">
      <c r="A228" t="inlineStr">
        <is>
          <t>2026-10-15</t>
        </is>
      </c>
      <c r="B228" t="inlineStr">
        <is>
          <t>US Dollar</t>
        </is>
      </c>
      <c r="C228" t="n">
        <v>160</v>
      </c>
      <c r="D228" t="n">
        <v>157</v>
      </c>
      <c r="E228" t="n">
        <v>4.193</v>
      </c>
      <c r="F228">
        <f>IF(B227=B228, IFERROR((E228-E227)/ABS(E227), "n/a"), "")</f>
        <v/>
      </c>
      <c r="G228" t="n">
        <v>102.0335</v>
      </c>
    </row>
    <row r="229">
      <c r="A229" t="inlineStr">
        <is>
          <t>2026-10-16</t>
        </is>
      </c>
      <c r="B229" t="inlineStr">
        <is>
          <t>US Dollar</t>
        </is>
      </c>
      <c r="C229" t="n">
        <v>160</v>
      </c>
      <c r="D229" t="n">
        <v>158</v>
      </c>
      <c r="E229" t="n">
        <v>5.318</v>
      </c>
      <c r="F229">
        <f>IF(B228=B229, IFERROR((E229-E228)/ABS(E228), "n/a"), "")</f>
        <v/>
      </c>
      <c r="G229" t="n">
        <v>101.8502</v>
      </c>
    </row>
    <row r="230">
      <c r="A230" t="inlineStr">
        <is>
          <t>2026-10-17</t>
        </is>
      </c>
      <c r="B230" t="inlineStr">
        <is>
          <t>US Dollar</t>
        </is>
      </c>
      <c r="C230" t="n">
        <v>200</v>
      </c>
      <c r="D230" t="n">
        <v>197</v>
      </c>
      <c r="E230" t="n">
        <v>5.633</v>
      </c>
      <c r="F230">
        <f>IF(B229=B230, IFERROR((E230-E229)/ABS(E229), "n/a"), "")</f>
        <v/>
      </c>
      <c r="G230" t="n">
        <v>101.779</v>
      </c>
    </row>
    <row r="231">
      <c r="A231" t="inlineStr">
        <is>
          <t>2026-10-18</t>
        </is>
      </c>
      <c r="B231" t="inlineStr">
        <is>
          <t>US Dollar</t>
        </is>
      </c>
      <c r="C231" t="n">
        <v>195</v>
      </c>
      <c r="D231" t="n">
        <v>195</v>
      </c>
      <c r="E231" t="n">
        <v>6.245</v>
      </c>
      <c r="F231">
        <f>IF(B230=B231, IFERROR((E231-E230)/ABS(E230), "n/a"), "")</f>
        <v/>
      </c>
      <c r="G231" t="n">
        <v>101.8016</v>
      </c>
    </row>
    <row r="232">
      <c r="A232" t="inlineStr">
        <is>
          <t>2026-10-19</t>
        </is>
      </c>
      <c r="B232" t="inlineStr">
        <is>
          <t>US Dollar</t>
        </is>
      </c>
      <c r="C232" t="n">
        <v>158</v>
      </c>
      <c r="D232" t="n">
        <v>154</v>
      </c>
      <c r="E232" t="n">
        <v>6.22</v>
      </c>
      <c r="F232">
        <f>IF(B231=B232, IFERROR((E232-E231)/ABS(E231), "n/a"), "")</f>
        <v/>
      </c>
      <c r="G232" t="n">
        <v>101.919</v>
      </c>
    </row>
    <row r="233">
      <c r="A233" t="inlineStr">
        <is>
          <t>2026-10-20</t>
        </is>
      </c>
      <c r="B233" t="inlineStr">
        <is>
          <t>US Dollar</t>
        </is>
      </c>
      <c r="C233" t="n">
        <v>160</v>
      </c>
      <c r="D233" t="n">
        <v>151</v>
      </c>
      <c r="E233" t="n">
        <v>4.475</v>
      </c>
      <c r="F233">
        <f>IF(B232=B233, IFERROR((E233-E232)/ABS(E232), "n/a"), "")</f>
        <v/>
      </c>
      <c r="G233" t="n">
        <v>101.8002</v>
      </c>
    </row>
    <row r="234">
      <c r="A234" t="inlineStr">
        <is>
          <t>2026-10-21</t>
        </is>
      </c>
      <c r="B234" t="inlineStr">
        <is>
          <t>US Dollar</t>
        </is>
      </c>
      <c r="C234" t="n">
        <v>160</v>
      </c>
      <c r="D234" t="n">
        <v>148</v>
      </c>
      <c r="E234" t="n">
        <v>5.76</v>
      </c>
      <c r="F234">
        <f>IF(B233=B234, IFERROR((E234-E233)/ABS(E233), "n/a"), "")</f>
        <v/>
      </c>
      <c r="G234" t="n">
        <v>101.7418</v>
      </c>
    </row>
    <row r="235">
      <c r="A235" t="inlineStr">
        <is>
          <t>2026-10-22</t>
        </is>
      </c>
      <c r="B235" t="inlineStr">
        <is>
          <t>US Dollar</t>
        </is>
      </c>
      <c r="C235" t="n">
        <v>158</v>
      </c>
      <c r="D235" t="n">
        <v>148</v>
      </c>
      <c r="E235" t="n">
        <v>8.506</v>
      </c>
      <c r="F235">
        <f>IF(B234=B235, IFERROR((E235-E234)/ABS(E234), "n/a"), "")</f>
        <v/>
      </c>
      <c r="G235" t="n">
        <v>101.579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2026-10-23T16:40:11Z</dcterms:modified>
</cp:coreProperties>
</file>