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8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2">
      <c r="A782" t="inlineStr">
        <is>
          <t>2026-10-17T22:00:58+00:00</t>
        </is>
      </c>
      <c r="B782" t="inlineStr">
        <is>
          <t>2026-10-17</t>
        </is>
      </c>
      <c r="C782" t="inlineStr">
        <is>
          <t>Gold</t>
        </is>
      </c>
      <c r="D782" t="inlineStr">
        <is>
          <t>GCZ26.CMX</t>
        </is>
      </c>
      <c r="E782" t="n">
        <v>4182.2998</v>
      </c>
      <c r="F782" t="n">
        <v>4193.2998</v>
      </c>
      <c r="G782" t="n">
        <v>4176.2998</v>
      </c>
      <c r="H782" t="n">
        <v>4186.7002</v>
      </c>
      <c r="I782" t="n">
        <v>20029</v>
      </c>
      <c r="J782" t="n">
        <v>4</v>
      </c>
      <c r="K782" t="n">
        <v>39</v>
      </c>
      <c r="L782" t="n">
        <v>0.153</v>
      </c>
      <c r="M782" t="n">
        <v>0.065</v>
      </c>
      <c r="N782" t="n">
        <v>40</v>
      </c>
      <c r="O782" t="n">
        <v>0.269</v>
      </c>
      <c r="P782" t="n">
        <v>0.06900000000000001</v>
      </c>
      <c r="Q782" t="n">
        <v>7.861</v>
      </c>
      <c r="R782" t="inlineStr">
        <is>
          <t>finbert</t>
        </is>
      </c>
      <c r="S782" t="inlineStr">
        <is>
          <t>Highest Gold Price Ever: How Gold Reached $5,595 Faster Than Past Cycles - EBC Financial Group</t>
        </is>
      </c>
      <c r="T78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2" t="inlineStr">
        <is>
          <t>World gold and silver prices surge, cash flow turns to safe haven assets - Laodong.vn</t>
        </is>
      </c>
      <c r="V78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2" t="inlineStr">
        <is>
          <t>Gold approaches $4,170, silver gains 3% as bond rally lifts precious metals - Kitco PM Report - Kitco</t>
        </is>
      </c>
      <c r="X78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2" t="inlineStr">
        <is>
          <t>Gold Breaks Down on Descending Triangle, Sets Up $4k Test - FOREX.com</t>
        </is>
      </c>
      <c r="Z78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2" t="inlineStr">
        <is>
          <t>Gold market sees positive ETF inflows in July, ending two months of outflows - Kitco</t>
        </is>
      </c>
      <c r="AB7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2" t="inlineStr">
        <is>
          <t>Weekly ETFs: All 11 sectors record inflows; Gold leads outflows - TradingView</t>
        </is>
      </c>
      <c r="AD78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3">
      <c r="A783" t="inlineStr">
        <is>
          <t>2026-10-17T22:00:58+00:00</t>
        </is>
      </c>
      <c r="B783" t="inlineStr">
        <is>
          <t>2026-10-17</t>
        </is>
      </c>
      <c r="C783" t="inlineStr">
        <is>
          <t>Oil</t>
        </is>
      </c>
      <c r="D783" t="inlineStr">
        <is>
          <t>CL=F</t>
        </is>
      </c>
      <c r="E783" t="n">
        <v>98.5</v>
      </c>
      <c r="F783" t="n">
        <v>99.34</v>
      </c>
      <c r="G783" t="n">
        <v>98.19</v>
      </c>
      <c r="H783" t="n">
        <v>99.04000000000001</v>
      </c>
      <c r="I783" t="n">
        <v>74893</v>
      </c>
      <c r="J783" t="n">
        <v>4</v>
      </c>
      <c r="K783" t="n">
        <v>40</v>
      </c>
      <c r="L783" t="n">
        <v>0.138</v>
      </c>
      <c r="M783" t="n">
        <v>-0.192</v>
      </c>
      <c r="N783" t="n">
        <v>40</v>
      </c>
      <c r="O783" t="n">
        <v>0.207</v>
      </c>
      <c r="P783" t="n">
        <v>-0.1</v>
      </c>
      <c r="Q783" t="n">
        <v>6.891</v>
      </c>
      <c r="R783" t="inlineStr">
        <is>
          <t>finbert</t>
        </is>
      </c>
      <c r="S783" t="inlineStr">
        <is>
          <t>Iran War Raises Demand for US Fuel, Boosting Gulf Coast Refining Margins - EnergyNow.com</t>
        </is>
      </c>
      <c r="T7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3" t="inlineStr">
        <is>
          <t>Oil surges 6%, Brent and US crude both surpass $100 on more tanker attacks - Reuters</t>
        </is>
      </c>
      <c r="V7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3" t="inlineStr">
        <is>
          <t>MPOB Monthly Report Imminent: Malaysia's Palm Oil Stockpiles May Surge Past 2.6 Million Tonnes as Strong El Niño Fuels Distant-Month Supply Cut Expectations - BigGo Finance</t>
        </is>
      </c>
      <c r="X78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3" t="inlineStr">
        <is>
          <t>MCX Gold trades around ₹1.47 lakh per 10 gram, Silver breaks key support; check trade setup for Oct 14 - Upstox</t>
        </is>
      </c>
      <c r="Z78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83" t="inlineStr">
        <is>
          <t>Saudi Arabia leads OPEC+ production increase: September crude oil daily output rises by 900,000 barrels month-on-month - 富途牛牛</t>
        </is>
      </c>
      <c r="AB78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83" t="inlineStr">
        <is>
          <t>Gulf oil production rebounds ahead of increase in Iran war hostilities - Financial Times</t>
        </is>
      </c>
      <c r="AD78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84">
      <c r="A784" t="inlineStr">
        <is>
          <t>2026-10-17T22:00:58+00:00</t>
        </is>
      </c>
      <c r="B784" t="inlineStr">
        <is>
          <t>2026-10-17</t>
        </is>
      </c>
      <c r="C784" t="inlineStr">
        <is>
          <t>US Dollar</t>
        </is>
      </c>
      <c r="D784" t="inlineStr">
        <is>
          <t>DX-Y.NYB</t>
        </is>
      </c>
      <c r="E784" t="n">
        <v>101.936</v>
      </c>
      <c r="F784" t="n">
        <v>101.965</v>
      </c>
      <c r="G784" t="n">
        <v>101.766</v>
      </c>
      <c r="H784" t="n">
        <v>101.779</v>
      </c>
      <c r="I784" t="n">
        <v>0</v>
      </c>
      <c r="J784" t="n">
        <v>4</v>
      </c>
      <c r="K784" t="n">
        <v>40</v>
      </c>
      <c r="L784" t="n">
        <v>-0.141</v>
      </c>
      <c r="M784" t="n">
        <v>0.096</v>
      </c>
      <c r="N784" t="n">
        <v>39</v>
      </c>
      <c r="O784" t="n">
        <v>0.483</v>
      </c>
      <c r="P784" t="n">
        <v>0.056</v>
      </c>
      <c r="Q784" t="n">
        <v>7.091</v>
      </c>
      <c r="R784" t="inlineStr">
        <is>
          <t>finbert</t>
        </is>
      </c>
      <c r="S784" t="inlineStr">
        <is>
          <t>Gold futures extend gains as safe-haven demand picks up. - CME Group</t>
        </is>
      </c>
      <c r="T78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84" t="inlineStr">
        <is>
          <t>Gold approaches $4,170, silver gains 3% as bond rally lifts precious metals - Kitco PM Report - Kitco</t>
        </is>
      </c>
      <c r="V78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84" t="inlineStr">
        <is>
          <t>Dollar rides safe-haven demand, set for best month since July - Virginia Business</t>
        </is>
      </c>
      <c r="X7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784" t="inlineStr">
        <is>
          <t>DXY Falls on Thursday - TradingView</t>
        </is>
      </c>
      <c r="Z7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84" t="inlineStr">
        <is>
          <t>Asia FX Talk - USD holds firm, yen falls, regional CPI in focus - MUFG Research</t>
        </is>
      </c>
      <c r="AB7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84" t="inlineStr">
        <is>
          <t>The bond market sell-off is helping the dollar - The Economist</t>
        </is>
      </c>
      <c r="AD78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85">
      <c r="A785" t="inlineStr">
        <is>
          <t>2026-10-17T22:00:58+00:00</t>
        </is>
      </c>
      <c r="B785" t="inlineStr">
        <is>
          <t>2026-10-17</t>
        </is>
      </c>
      <c r="C785" t="inlineStr">
        <is>
          <t>S&amp;P 500</t>
        </is>
      </c>
      <c r="D785" t="inlineStr">
        <is>
          <t>ES=F</t>
        </is>
      </c>
      <c r="E785" t="n">
        <v>7732.75</v>
      </c>
      <c r="F785" t="n">
        <v>7733</v>
      </c>
      <c r="G785" t="n">
        <v>7676</v>
      </c>
      <c r="H785" t="n">
        <v>7704.25</v>
      </c>
      <c r="I785" t="n">
        <v>1036864</v>
      </c>
      <c r="J785" t="n">
        <v>4</v>
      </c>
      <c r="K785" t="n">
        <v>40</v>
      </c>
      <c r="L785" t="n">
        <v>0.056</v>
      </c>
      <c r="M785" t="n">
        <v>0.049</v>
      </c>
      <c r="N785" t="n">
        <v>38</v>
      </c>
      <c r="O785" t="n">
        <v>0.444</v>
      </c>
      <c r="P785" t="n">
        <v>-0.028</v>
      </c>
      <c r="Q785" t="n">
        <v>10.55</v>
      </c>
      <c r="R785" t="inlineStr">
        <is>
          <t>finbert</t>
        </is>
      </c>
      <c r="S785" t="inlineStr">
        <is>
          <t>IBRX Breaks Above This Key Resistance — Stock On Track To Record Best Single-Day Gains In 6 Months - Yahoo Finance</t>
        </is>
      </c>
      <c r="T7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85" t="inlineStr">
        <is>
          <t>Stock Market Today, Oct. 12: CCC Intelligent Solutions Surges 8% on Advanced Buyout Talks - The Motley Fool</t>
        </is>
      </c>
      <c r="V78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85" t="inlineStr">
        <is>
          <t>Stock Of The Day: Is CoreWeave About To Break Out? - TradingView</t>
        </is>
      </c>
      <c r="X78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85" t="inlineStr">
        <is>
          <t>Dow Drops 49, Nasdaq Sinks 512, S&amp;P 500 Falls 87 - TV News Check</t>
        </is>
      </c>
      <c r="Z7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85" t="inlineStr">
        <is>
          <t>Dow Drops 175, Nasdaq Loses 573, S&amp;P 500 Falls 85 - TV News Check</t>
        </is>
      </c>
      <c r="AB78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85" t="inlineStr">
        <is>
          <t>How Warren Buffett Handles Market Downturns—And What Investors Can Learn From His Approach - Investopedia</t>
        </is>
      </c>
      <c r="AD785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6">
      <c r="A786" t="inlineStr">
        <is>
          <t>2026-10-17T22:00:58+00:00</t>
        </is>
      </c>
      <c r="B786" t="inlineStr">
        <is>
          <t>2026-10-17</t>
        </is>
      </c>
      <c r="C786" t="inlineStr">
        <is>
          <t>Nasdaq</t>
        </is>
      </c>
      <c r="D786" t="inlineStr">
        <is>
          <t>NQ=F</t>
        </is>
      </c>
      <c r="E786" t="n">
        <v>29615</v>
      </c>
      <c r="F786" t="n">
        <v>29617</v>
      </c>
      <c r="G786" t="n">
        <v>29268.75</v>
      </c>
      <c r="H786" t="n">
        <v>29391.5</v>
      </c>
      <c r="I786" t="n">
        <v>304044</v>
      </c>
      <c r="J786" t="n">
        <v>4</v>
      </c>
      <c r="K786" t="n">
        <v>38</v>
      </c>
      <c r="L786" t="n">
        <v>-0.157</v>
      </c>
      <c r="M786" t="n">
        <v>0.031</v>
      </c>
      <c r="N786" t="n">
        <v>33</v>
      </c>
      <c r="O786" t="n">
        <v>0.316</v>
      </c>
      <c r="P786" t="n">
        <v>0.045</v>
      </c>
      <c r="Q786" t="n">
        <v>4.726</v>
      </c>
      <c r="R786" t="inlineStr">
        <is>
          <t>finbert</t>
        </is>
      </c>
      <c r="S786" t="inlineStr">
        <is>
          <t>Vera Bradley: Despite 140% Rally, The Stock Is Still Undervalued - Seeking Alpha</t>
        </is>
      </c>
      <c r="T786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6" t="inlineStr">
        <is>
          <t>These Consumer Stocks Are Getting a Lift as Investors Rotate Out of Tech - Investopedia</t>
        </is>
      </c>
      <c r="V78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6" t="inlineStr">
        <is>
          <t>Nasdaq indices surge as buyers break above key resistance - investingLive</t>
        </is>
      </c>
      <c r="X78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86" t="inlineStr">
        <is>
          <t>Dow Jones Futures Rise, But AI Sell-Off Continues On Anthropic News; Taiwan Semiconductor Earnings Strong - Investor's Business Daily</t>
        </is>
      </c>
      <c r="Z78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6" t="inlineStr">
        <is>
          <t>Stock Market Ends Week With Software Sell-Off; Nasdaq Dives 2%, Gives Up 200-Day Line - Investor's Business Daily</t>
        </is>
      </c>
      <c r="AB78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6" t="inlineStr">
        <is>
          <t>Nasdaq 100 breaks 29,361 support, RSI at 23.5: Live levels - Investing.com</t>
        </is>
      </c>
      <c r="AD78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7">
      <c r="A787" t="inlineStr">
        <is>
          <t>2026-10-17T22:00:58+00:00</t>
        </is>
      </c>
      <c r="B787" t="inlineStr">
        <is>
          <t>2026-10-17</t>
        </is>
      </c>
      <c r="C787" t="inlineStr">
        <is>
          <t>Bitcoin</t>
        </is>
      </c>
      <c r="D787" t="inlineStr">
        <is>
          <t>BTC-USD</t>
        </is>
      </c>
      <c r="E787" t="n">
        <v>81395.27340000001</v>
      </c>
      <c r="F787" t="n">
        <v>81588.6562</v>
      </c>
      <c r="G787" t="n">
        <v>80720</v>
      </c>
      <c r="H787" t="n">
        <v>81120.74219999999</v>
      </c>
      <c r="I787" t="n">
        <v>825564160</v>
      </c>
      <c r="J787" t="n">
        <v>4</v>
      </c>
      <c r="K787" t="n">
        <v>40</v>
      </c>
      <c r="L787" t="n">
        <v>0.358</v>
      </c>
      <c r="M787" t="n">
        <v>-0.032</v>
      </c>
      <c r="N787" t="n">
        <v>35</v>
      </c>
      <c r="O787" t="n">
        <v>0.34</v>
      </c>
      <c r="P787" t="n">
        <v>-0.124</v>
      </c>
      <c r="Q787" t="n">
        <v>15.613</v>
      </c>
      <c r="R787" t="inlineStr">
        <is>
          <t>finbert</t>
        </is>
      </c>
      <c r="S787" t="inlineStr">
        <is>
          <t>Bitcoin surges 22% for the week as investor optimism floods back - CNBC</t>
        </is>
      </c>
      <c r="T7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7" t="inlineStr">
        <is>
          <t>Bitcoin Surges as Institutional Demand, Short Covering, Clarity Act Progress Converge - WSJ</t>
        </is>
      </c>
      <c r="V7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7" t="inlineStr">
        <is>
          <t>Hyperscale Data Stock Surges Beyond Bitcoin Mining Growth - Benzinga</t>
        </is>
      </c>
      <c r="X78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7" t="inlineStr">
        <is>
          <t>A Holder Who Put $100 a Month Into Bitcoin Since 2015 Has Paid In $14,000. Here Is What the Stack Is Worth Now. - 24/7 Wall St.</t>
        </is>
      </c>
      <c r="Z78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7" t="inlineStr">
        <is>
          <t>Crypto Liquidations and Remittix: Bitcoin’s Rebound Puts Its Pre-Launch Payments Opportunity Into Focus - StreetInsider</t>
        </is>
      </c>
      <c r="AB787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7" t="inlineStr">
        <is>
          <t>Bitcoin price prediction: $12.2bn of options expire - CryptoTicker</t>
        </is>
      </c>
      <c r="AD787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8">
      <c r="A788" t="inlineStr">
        <is>
          <t>2026-10-18T03:26:39+00:00</t>
        </is>
      </c>
      <c r="B788" t="inlineStr">
        <is>
          <t>2026-10-18</t>
        </is>
      </c>
      <c r="C788" t="inlineStr">
        <is>
          <t>Gold</t>
        </is>
      </c>
      <c r="D788" t="inlineStr">
        <is>
          <t>GCZ26.CMX</t>
        </is>
      </c>
      <c r="E788" t="n">
        <v>4182.3999</v>
      </c>
      <c r="F788" t="n">
        <v>4193.2998</v>
      </c>
      <c r="G788" t="n">
        <v>4176.2998</v>
      </c>
      <c r="H788" t="n">
        <v>4181.1001</v>
      </c>
      <c r="I788" t="n">
        <v>20029</v>
      </c>
      <c r="J788" t="n">
        <v>4</v>
      </c>
      <c r="K788" t="n">
        <v>39</v>
      </c>
      <c r="L788" t="n">
        <v>0.13</v>
      </c>
      <c r="M788" t="n">
        <v>0.07000000000000001</v>
      </c>
      <c r="N788" t="n">
        <v>40</v>
      </c>
      <c r="O788" t="n">
        <v>0.25</v>
      </c>
      <c r="P788" t="n">
        <v>0.067</v>
      </c>
      <c r="Q788" t="n">
        <v>7.043</v>
      </c>
      <c r="R788" t="inlineStr">
        <is>
          <t>finbert</t>
        </is>
      </c>
      <c r="S788" t="inlineStr">
        <is>
          <t>Highest Gold Price Ever: How Gold Reached $5,595 Faster Than Past Cycles - EBC Financial Group</t>
        </is>
      </c>
      <c r="T78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8" t="inlineStr">
        <is>
          <t>World gold and silver prices surge, cash flow turns to safe haven assets - Laodong.vn</t>
        </is>
      </c>
      <c r="V78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8" t="inlineStr">
        <is>
          <t>Gold approaches $4,170, silver gains 3% as bond rally lifts precious metals - Kitco PM Report - Kitco</t>
        </is>
      </c>
      <c r="X78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8" t="inlineStr">
        <is>
          <t>Gold Breaks Down on Descending Triangle, Sets Up $4k Test - FOREX.com</t>
        </is>
      </c>
      <c r="Z78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8" t="inlineStr">
        <is>
          <t>Gold market sees positive ETF inflows in July, ending two months of outflows - Kitco</t>
        </is>
      </c>
      <c r="AB7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8" t="inlineStr">
        <is>
          <t>Weekly ETFs: All 11 sectors record inflows; Gold leads outflows - TradingView</t>
        </is>
      </c>
      <c r="AD78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9">
      <c r="A789" t="inlineStr">
        <is>
          <t>2026-10-18T03:26:39+00:00</t>
        </is>
      </c>
      <c r="B789" t="inlineStr">
        <is>
          <t>2026-10-18</t>
        </is>
      </c>
      <c r="C789" t="inlineStr">
        <is>
          <t>Oil</t>
        </is>
      </c>
      <c r="D789" t="inlineStr">
        <is>
          <t>CL=F</t>
        </is>
      </c>
      <c r="E789" t="n">
        <v>98.51000000000001</v>
      </c>
      <c r="F789" t="n">
        <v>99.34</v>
      </c>
      <c r="G789" t="n">
        <v>98.19</v>
      </c>
      <c r="H789" t="n">
        <v>99.02</v>
      </c>
      <c r="I789" t="n">
        <v>83134</v>
      </c>
      <c r="J789" t="n">
        <v>4</v>
      </c>
      <c r="K789" t="n">
        <v>40</v>
      </c>
      <c r="L789" t="n">
        <v>0.144</v>
      </c>
      <c r="M789" t="n">
        <v>-0.192</v>
      </c>
      <c r="N789" t="n">
        <v>40</v>
      </c>
      <c r="O789" t="n">
        <v>0.143</v>
      </c>
      <c r="P789" t="n">
        <v>-0.113</v>
      </c>
      <c r="Q789" t="n">
        <v>5.736</v>
      </c>
      <c r="R789" t="inlineStr">
        <is>
          <t>finbert</t>
        </is>
      </c>
      <c r="S789" t="inlineStr">
        <is>
          <t>Iran War Raises Demand for US Fuel, Boosting Gulf Coast Refining Margins - EnergyNow.com</t>
        </is>
      </c>
      <c r="T7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9" t="inlineStr">
        <is>
          <t>Oil surges 6%, Brent and US crude both surpass $100 on more tanker attacks - Reuters</t>
        </is>
      </c>
      <c r="V7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9" t="inlineStr">
        <is>
          <t>MPOB Monthly Report Imminent: Malaysia's Palm Oil Stockpiles May Surge Past 2.6 Million Tonnes as Strong El Niño Fuels Distant-Month Supply Cut Expectations - BigGo Finance</t>
        </is>
      </c>
      <c r="X78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9" t="inlineStr">
        <is>
          <t>OPEC Oil Output Rises 920,000 Bpd In Sept., Saudi Boosts Supply - MarketForces Africa</t>
        </is>
      </c>
      <c r="Z78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89" t="inlineStr">
        <is>
          <t>MCX Gold trades around ₹1.47 lakh per 10 gram, Silver breaks key support; check trade setup for Oct 14 - Upstox</t>
        </is>
      </c>
      <c r="AB78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89" t="inlineStr">
        <is>
          <t>Saudi Arabia leads OPEC+ production increase: September crude oil daily output rises by 900,000 barrels month-on-month - 富途牛牛</t>
        </is>
      </c>
      <c r="AD78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0">
      <c r="A790" t="inlineStr">
        <is>
          <t>2026-10-18T03:26:39+00:00</t>
        </is>
      </c>
      <c r="B790" t="inlineStr">
        <is>
          <t>2026-10-18</t>
        </is>
      </c>
      <c r="C790" t="inlineStr">
        <is>
          <t>US Dollar</t>
        </is>
      </c>
      <c r="D790" t="inlineStr">
        <is>
          <t>DX-Y.NYB</t>
        </is>
      </c>
      <c r="E790" t="n">
        <v>101.936</v>
      </c>
      <c r="F790" t="n">
        <v>101.965</v>
      </c>
      <c r="G790" t="n">
        <v>101.766</v>
      </c>
      <c r="H790" t="n">
        <v>101.779</v>
      </c>
      <c r="I790" t="n">
        <v>0</v>
      </c>
      <c r="J790" t="n">
        <v>4</v>
      </c>
      <c r="K790" t="n">
        <v>40</v>
      </c>
      <c r="L790" t="n">
        <v>-0.187</v>
      </c>
      <c r="M790" t="n">
        <v>0.099</v>
      </c>
      <c r="N790" t="n">
        <v>39</v>
      </c>
      <c r="O790" t="n">
        <v>0.472</v>
      </c>
      <c r="P790" t="n">
        <v>0.033</v>
      </c>
      <c r="Q790" t="n">
        <v>5.966</v>
      </c>
      <c r="R790" t="inlineStr">
        <is>
          <t>finbert</t>
        </is>
      </c>
      <c r="S790" t="inlineStr">
        <is>
          <t>Gold futures extend gains as safe-haven demand picks up. - CME Group</t>
        </is>
      </c>
      <c r="T79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0" t="inlineStr">
        <is>
          <t>Won strengthens on robust exports, increased dollar supply - The Korea Times</t>
        </is>
      </c>
      <c r="V790" t="inlineStr">
        <is>
          <t>https://news.google.com/rss/articles/CBMipgFBVV95cUxNU212cGw1clNuamdJQlhmb1JyeUlNdW5ocVI4RlZSVjVIMkF1NDNuRUZuWEVkUmlaajRaNGtDdHVSdGI2b0JLRFhLb3dsdzNBeFRlTk9DUVhOUDJuQ1BSdVY1dU5IblBNTmRaREctYXF2bkRHOC1WelBST0dvc0xVb0NjWDI4M045Mno3NEZPblJmNkpOejMzWWJ2Y01mM0JMUk5XbExB0gGrAUFVX3lxTFBmZm5BZm9uUzRoeE5EX2dzUm1HQk9FM2NLV0kyU0l5WXhVVENqd1Z6czk1M053VnYtMDlUX25NVExMeFRpMmY3R21HaUdDMTZlY1lfakhVZjEwUnBNRDlTRVRsZGNIRUpfRjl1MXZ3N0k5dVBySzFLU2xZM3NGUURZUHFFOVNVd3VzTkl3MTBwRWRWdGpoSUFES2NMb01HclpCSmVzMjhybk4tSQ?oc=5</t>
        </is>
      </c>
      <c r="W790" t="inlineStr">
        <is>
          <t>Gold approaches $4,170, silver gains 3% as bond rally lifts precious metals - Kitco PM Report - Kitco</t>
        </is>
      </c>
      <c r="X79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0" t="inlineStr">
        <is>
          <t>DXY Falls on Thursday - TradingView</t>
        </is>
      </c>
      <c r="Z7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0" t="inlineStr">
        <is>
          <t>Asia FX Talk - USD holds firm, yen falls, regional CPI in focus - MUFG Research</t>
        </is>
      </c>
      <c r="AB7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0" t="inlineStr">
        <is>
          <t>The bond market sell-off is helping the dollar - The Economist</t>
        </is>
      </c>
      <c r="AD79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1">
      <c r="A791" t="inlineStr">
        <is>
          <t>2026-10-18T03:26:39+00:00</t>
        </is>
      </c>
      <c r="B791" t="inlineStr">
        <is>
          <t>2026-10-18</t>
        </is>
      </c>
      <c r="C791" t="inlineStr">
        <is>
          <t>S&amp;P 500</t>
        </is>
      </c>
      <c r="D791" t="inlineStr">
        <is>
          <t>ES=F</t>
        </is>
      </c>
      <c r="E791" t="n">
        <v>7732.75</v>
      </c>
      <c r="F791" t="n">
        <v>7733</v>
      </c>
      <c r="G791" t="n">
        <v>7676</v>
      </c>
      <c r="H791" t="n">
        <v>7704.25</v>
      </c>
      <c r="I791" t="n">
        <v>1112460</v>
      </c>
      <c r="J791" t="n">
        <v>4</v>
      </c>
      <c r="K791" t="n">
        <v>40</v>
      </c>
      <c r="L791" t="n">
        <v>0.049</v>
      </c>
      <c r="M791" t="n">
        <v>0.076</v>
      </c>
      <c r="N791" t="n">
        <v>40</v>
      </c>
      <c r="O791" t="n">
        <v>0.418</v>
      </c>
      <c r="P791" t="n">
        <v>-0.034</v>
      </c>
      <c r="Q791" t="n">
        <v>9.335000000000001</v>
      </c>
      <c r="R791" t="inlineStr">
        <is>
          <t>finbert</t>
        </is>
      </c>
      <c r="S791" t="inlineStr">
        <is>
          <t>IBRX Breaks Above This Key Resistance — Stock On Track To Record Best Single-Day Gains In 6 Months - Yahoo Finance</t>
        </is>
      </c>
      <c r="T7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1" t="inlineStr">
        <is>
          <t>Stock Market Today, Oct. 12: CCC Intelligent Solutions Surges 8% on Advanced Buyout Talks - The Motley Fool</t>
        </is>
      </c>
      <c r="V79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1" t="inlineStr">
        <is>
          <t>Stock Of The Day: Is CoreWeave About To Break Out? - TradingView</t>
        </is>
      </c>
      <c r="X79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1" t="inlineStr">
        <is>
          <t>Dow Drops 49, Nasdaq Sinks 512, S&amp;P 500 Falls 87 - TV News Check</t>
        </is>
      </c>
      <c r="Z7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91" t="inlineStr">
        <is>
          <t>Stock Market Today: Stock Market News And Analysis - Investor's Business Daily</t>
        </is>
      </c>
      <c r="AB791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  <c r="AC791" t="inlineStr">
        <is>
          <t>Dow Drops 175, Nasdaq Loses 573, S&amp;P 500 Falls 85 - TV News Check</t>
        </is>
      </c>
      <c r="AD79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2">
      <c r="A792" t="inlineStr">
        <is>
          <t>2026-10-18T03:26:39+00:00</t>
        </is>
      </c>
      <c r="B792" t="inlineStr">
        <is>
          <t>2026-10-18</t>
        </is>
      </c>
      <c r="C792" t="inlineStr">
        <is>
          <t>Nasdaq</t>
        </is>
      </c>
      <c r="D792" t="inlineStr">
        <is>
          <t>NQ=F</t>
        </is>
      </c>
      <c r="E792" t="n">
        <v>29614.5</v>
      </c>
      <c r="F792" t="n">
        <v>29617</v>
      </c>
      <c r="G792" t="n">
        <v>29268.75</v>
      </c>
      <c r="H792" t="n">
        <v>29391.5</v>
      </c>
      <c r="I792" t="n">
        <v>304044</v>
      </c>
      <c r="J792" t="n">
        <v>4</v>
      </c>
      <c r="K792" t="n">
        <v>37</v>
      </c>
      <c r="L792" t="n">
        <v>-0.179</v>
      </c>
      <c r="M792" t="n">
        <v>0.021</v>
      </c>
      <c r="N792" t="n">
        <v>32</v>
      </c>
      <c r="O792" t="n">
        <v>0.331</v>
      </c>
      <c r="P792" t="n">
        <v>0.014</v>
      </c>
      <c r="Q792" t="n">
        <v>4.47</v>
      </c>
      <c r="R792" t="inlineStr">
        <is>
          <t>finbert</t>
        </is>
      </c>
      <c r="S792" t="inlineStr">
        <is>
          <t>Vera Bradley: Despite 140% Rally, The Stock Is Still Undervalued - Seeking Alpha</t>
        </is>
      </c>
      <c r="T792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2" t="inlineStr">
        <is>
          <t>These Consumer Stocks Are Getting a Lift as Investors Rotate Out of Tech - Investopedia</t>
        </is>
      </c>
      <c r="V79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2" t="inlineStr">
        <is>
          <t>Nasdaq indices surge as buyers break above key resistance - investingLive</t>
        </is>
      </c>
      <c r="X79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2" t="inlineStr">
        <is>
          <t>Stock Market Ends Week With Software Sell-Off; Nasdaq Dives 2%, Gives Up 200-Day Line - Investor's Business Daily</t>
        </is>
      </c>
      <c r="Z79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A792" t="inlineStr">
        <is>
          <t>Nasdaq 100 breaks 29,361 support, RSI at 23.5: Live levels - Investing.com</t>
        </is>
      </c>
      <c r="AB7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792" t="inlineStr">
        <is>
          <t>Dow Drops 175, Nasdaq Loses 573, S&amp;P 500 Falls 85 - TV News Check</t>
        </is>
      </c>
      <c r="AD792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3">
      <c r="A793" t="inlineStr">
        <is>
          <t>2026-10-18T03:26:39+00:00</t>
        </is>
      </c>
      <c r="B793" t="inlineStr">
        <is>
          <t>2026-10-18</t>
        </is>
      </c>
      <c r="C793" t="inlineStr">
        <is>
          <t>Bitcoin</t>
        </is>
      </c>
      <c r="D793" t="inlineStr">
        <is>
          <t>BTC-USD</t>
        </is>
      </c>
      <c r="E793" t="n">
        <v>81385.5469</v>
      </c>
      <c r="F793" t="n">
        <v>81849.4531</v>
      </c>
      <c r="G793" t="n">
        <v>81290.75</v>
      </c>
      <c r="H793" t="n">
        <v>81726.7812</v>
      </c>
      <c r="I793" t="n">
        <v>1400748032</v>
      </c>
      <c r="J793" t="n">
        <v>4</v>
      </c>
      <c r="K793" t="n">
        <v>40</v>
      </c>
      <c r="L793" t="n">
        <v>0.334</v>
      </c>
      <c r="M793" t="n">
        <v>0</v>
      </c>
      <c r="N793" t="n">
        <v>36</v>
      </c>
      <c r="O793" t="n">
        <v>0.464</v>
      </c>
      <c r="P793" t="n">
        <v>-0.096</v>
      </c>
      <c r="Q793" t="n">
        <v>17.028</v>
      </c>
      <c r="R793" t="inlineStr">
        <is>
          <t>finbert</t>
        </is>
      </c>
      <c r="S793" t="inlineStr">
        <is>
          <t>Bitcoin surges 22% for the week as investor optimism floods back - CNBC</t>
        </is>
      </c>
      <c r="T79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3" t="inlineStr">
        <is>
          <t>Bitcoin Surges as Institutional Demand, Short Covering, Clarity Act Progress Converge - WSJ</t>
        </is>
      </c>
      <c r="V7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3" t="inlineStr">
        <is>
          <t>Hyperscale Data Stock Surges Beyond Bitcoin Mining Growth - Benzinga</t>
        </is>
      </c>
      <c r="X79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3" t="inlineStr">
        <is>
          <t>A Holder Who Put $100 a Month Into Bitcoin Since 2015 Has Paid In $14,000. Here Is What the Stack Is Worth Now. - 24/7 Wall St.</t>
        </is>
      </c>
      <c r="Z79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3" t="inlineStr">
        <is>
          <t>Crypto Liquidations and Remittix: Bitcoin’s Rebound Puts Its Pre-Launch Payments Opportunity Into Focus - StreetInsider</t>
        </is>
      </c>
      <c r="AB793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93" t="inlineStr">
        <is>
          <t>Bitcoin price prediction: $12.2bn of options expire - CryptoTicker</t>
        </is>
      </c>
      <c r="AD793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94">
      <c r="A794" t="inlineStr">
        <is>
          <t>2026-10-18T08:39:00+00:00</t>
        </is>
      </c>
      <c r="B794" t="inlineStr">
        <is>
          <t>2026-10-18</t>
        </is>
      </c>
      <c r="C794" t="inlineStr">
        <is>
          <t>Gold</t>
        </is>
      </c>
      <c r="D794" t="inlineStr">
        <is>
          <t>GCZ26.CMX</t>
        </is>
      </c>
      <c r="E794" t="n">
        <v>4182.3999</v>
      </c>
      <c r="F794" t="n">
        <v>4193.2998</v>
      </c>
      <c r="G794" t="n">
        <v>4176.2998</v>
      </c>
      <c r="H794" t="n">
        <v>4181.1001</v>
      </c>
      <c r="I794" t="n">
        <v>20029</v>
      </c>
      <c r="J794" t="n">
        <v>4</v>
      </c>
      <c r="K794" t="n">
        <v>39</v>
      </c>
      <c r="L794" t="n">
        <v>0.111</v>
      </c>
      <c r="M794" t="n">
        <v>-0.001</v>
      </c>
      <c r="N794" t="n">
        <v>40</v>
      </c>
      <c r="O794" t="n">
        <v>0.179</v>
      </c>
      <c r="P794" t="n">
        <v>0.068</v>
      </c>
      <c r="Q794" t="n">
        <v>5.249</v>
      </c>
      <c r="R794" t="inlineStr">
        <is>
          <t>finbert</t>
        </is>
      </c>
      <c r="S794" t="inlineStr">
        <is>
          <t>Highest Gold Price Ever: How Gold Reached $5,595 Faster Than Past Cycles - EBC Financial Group</t>
        </is>
      </c>
      <c r="T794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94" t="inlineStr">
        <is>
          <t>Gold Holds Gains With Haven Demand and Lower Yields in Focus - Bloomberg.com</t>
        </is>
      </c>
      <c r="V794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794" t="inlineStr">
        <is>
          <t>Gold approaches $4,170, silver gains 3% as bond rally lifts precious metals - Kitco PM Report - Kitco</t>
        </is>
      </c>
      <c r="X79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4" t="inlineStr">
        <is>
          <t>Gold Breaks Down on Descending Triangle, Sets Up $4k Test - FOREX.com</t>
        </is>
      </c>
      <c r="Z79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94" t="inlineStr">
        <is>
          <t>Gold market sees positive ETF inflows in July, ending two months of outflows - Kitco</t>
        </is>
      </c>
      <c r="AB7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94" t="inlineStr">
        <is>
          <t>Weekly ETFs: All 11 sectors record inflows; Gold leads outflows - TradingView</t>
        </is>
      </c>
      <c r="AD79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95">
      <c r="A795" t="inlineStr">
        <is>
          <t>2026-10-18T08:39:00+00:00</t>
        </is>
      </c>
      <c r="B795" t="inlineStr">
        <is>
          <t>2026-10-18</t>
        </is>
      </c>
      <c r="C795" t="inlineStr">
        <is>
          <t>Oil</t>
        </is>
      </c>
      <c r="D795" t="inlineStr">
        <is>
          <t>CL=F</t>
        </is>
      </c>
      <c r="E795" t="n">
        <v>98.51000000000001</v>
      </c>
      <c r="F795" t="n">
        <v>99.34</v>
      </c>
      <c r="G795" t="n">
        <v>98.19</v>
      </c>
      <c r="H795" t="n">
        <v>99.02</v>
      </c>
      <c r="I795" t="n">
        <v>83134</v>
      </c>
      <c r="J795" t="n">
        <v>4</v>
      </c>
      <c r="K795" t="n">
        <v>40</v>
      </c>
      <c r="L795" t="n">
        <v>0.164</v>
      </c>
      <c r="M795" t="n">
        <v>-0.164</v>
      </c>
      <c r="N795" t="n">
        <v>40</v>
      </c>
      <c r="O795" t="n">
        <v>0.123</v>
      </c>
      <c r="P795" t="n">
        <v>-0.096</v>
      </c>
      <c r="Q795" t="n">
        <v>5.744</v>
      </c>
      <c r="R795" t="inlineStr">
        <is>
          <t>finbert</t>
        </is>
      </c>
      <c r="S795" t="inlineStr">
        <is>
          <t>Iran War Raises Demand for US Fuel, Boosting Gulf Coast Refining Margins - EnergyNow.com</t>
        </is>
      </c>
      <c r="T7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95" t="inlineStr">
        <is>
          <t>Oil surges 6%, Brent and US crude both surpass $100 on more tanker attacks - Reuters</t>
        </is>
      </c>
      <c r="V7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95" t="inlineStr">
        <is>
          <t>MPOB Monthly Report Imminent: Malaysia's Palm Oil Stockpiles May Surge Past 2.6 Million Tonnes as Strong El Niño Fuels Distant-Month Supply Cut Expectations - BigGo Finance</t>
        </is>
      </c>
      <c r="X79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95" t="inlineStr">
        <is>
          <t>OPEC Oil Output Rises 920,000 Bpd In Sept., Saudi Boosts Supply - MarketForces Africa</t>
        </is>
      </c>
      <c r="Z79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95" t="inlineStr">
        <is>
          <t>MCX Gold trades around ₹1.47 lakh per 10 gram, Silver breaks key support; check trade setup for Oct 14 - Upstox</t>
        </is>
      </c>
      <c r="AB79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95" t="inlineStr">
        <is>
          <t>Saudi Arabia leads OPEC+ production increase: September crude oil daily output rises by 900,000 barrels month-on-month - 富途牛牛</t>
        </is>
      </c>
      <c r="AD79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6">
      <c r="A796" t="inlineStr">
        <is>
          <t>2026-10-18T08:39:00+00:00</t>
        </is>
      </c>
      <c r="B796" t="inlineStr">
        <is>
          <t>2026-10-18</t>
        </is>
      </c>
      <c r="C796" t="inlineStr">
        <is>
          <t>US Dollar</t>
        </is>
      </c>
      <c r="D796" t="inlineStr">
        <is>
          <t>DX-Y.NYB</t>
        </is>
      </c>
      <c r="E796" t="n">
        <v>101.936</v>
      </c>
      <c r="F796" t="n">
        <v>101.965</v>
      </c>
      <c r="G796" t="n">
        <v>101.766</v>
      </c>
      <c r="H796" t="n">
        <v>101.779</v>
      </c>
      <c r="I796" t="n">
        <v>0</v>
      </c>
      <c r="J796" t="n">
        <v>4</v>
      </c>
      <c r="K796" t="n">
        <v>39</v>
      </c>
      <c r="L796" t="n">
        <v>-0.131</v>
      </c>
      <c r="M796" t="n">
        <v>0.111</v>
      </c>
      <c r="N796" t="n">
        <v>39</v>
      </c>
      <c r="O796" t="n">
        <v>0.466</v>
      </c>
      <c r="P796" t="n">
        <v>0.034</v>
      </c>
      <c r="Q796" t="n">
        <v>6.535</v>
      </c>
      <c r="R796" t="inlineStr">
        <is>
          <t>finbert</t>
        </is>
      </c>
      <c r="S796" t="inlineStr">
        <is>
          <t>Gold futures extend gains as safe-haven demand picks up. - CME Group</t>
        </is>
      </c>
      <c r="T79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6" t="inlineStr">
        <is>
          <t>Gold approaches $4,170, silver gains 3% as bond rally lifts precious metals - Kitco PM Report - Kitco</t>
        </is>
      </c>
      <c r="V79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96" t="inlineStr">
        <is>
          <t>Dollar Strengthens on Oil Surge &amp; Hawkish Fed Policy: ETFs to Benefit - TradingView</t>
        </is>
      </c>
      <c r="X796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796" t="inlineStr">
        <is>
          <t>DXY Falls on Thursday - TradingView</t>
        </is>
      </c>
      <c r="Z79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6" t="inlineStr">
        <is>
          <t>Asia FX Talk - USD holds firm, yen falls, regional CPI in focus - MUFG Research</t>
        </is>
      </c>
      <c r="AB7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6" t="inlineStr">
        <is>
          <t>The bond market sell-off is helping the dollar - The Economist</t>
        </is>
      </c>
      <c r="AD79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7">
      <c r="A797" t="inlineStr">
        <is>
          <t>2026-10-18T08:39:00+00:00</t>
        </is>
      </c>
      <c r="B797" t="inlineStr">
        <is>
          <t>2026-10-18</t>
        </is>
      </c>
      <c r="C797" t="inlineStr">
        <is>
          <t>S&amp;P 500</t>
        </is>
      </c>
      <c r="D797" t="inlineStr">
        <is>
          <t>ES=F</t>
        </is>
      </c>
      <c r="E797" t="n">
        <v>7732.75</v>
      </c>
      <c r="F797" t="n">
        <v>7733</v>
      </c>
      <c r="G797" t="n">
        <v>7676</v>
      </c>
      <c r="H797" t="n">
        <v>7704.25</v>
      </c>
      <c r="I797" t="n">
        <v>1112460</v>
      </c>
      <c r="J797" t="n">
        <v>4</v>
      </c>
      <c r="K797" t="n">
        <v>40</v>
      </c>
      <c r="L797" t="n">
        <v>-0.037</v>
      </c>
      <c r="M797" t="n">
        <v>0.078</v>
      </c>
      <c r="N797" t="n">
        <v>39</v>
      </c>
      <c r="O797" t="n">
        <v>0.381</v>
      </c>
      <c r="P797" t="n">
        <v>-0.062</v>
      </c>
      <c r="Q797" t="n">
        <v>7.19</v>
      </c>
      <c r="R797" t="inlineStr">
        <is>
          <t>finbert</t>
        </is>
      </c>
      <c r="S797" t="inlineStr">
        <is>
          <t>IBRX Breaks Above This Key Resistance — Stock On Track To Record Best Single-Day Gains In 6 Months - Yahoo Finance</t>
        </is>
      </c>
      <c r="T79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7" t="inlineStr">
        <is>
          <t>Stock Market Today, Oct. 12: CCC Intelligent Solutions Surges 8% on Advanced Buyout Talks - The Motley Fool</t>
        </is>
      </c>
      <c r="V79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7" t="inlineStr">
        <is>
          <t>Stock Of The Day: Is CoreWeave About To Break Out? - TradingView</t>
        </is>
      </c>
      <c r="X79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7" t="inlineStr">
        <is>
          <t>AMD Beat Revenue at $11.5B and Data Center +107% — So Why Is the Stock Breaking $475 Support? - TradingKey</t>
        </is>
      </c>
      <c r="Z79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797" t="inlineStr">
        <is>
          <t>Dow Drops 49, Nasdaq Sinks 512, S&amp;P 500 Falls 87 - TV News Check</t>
        </is>
      </c>
      <c r="AB79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97" t="inlineStr">
        <is>
          <t>Stock Market Today: Stock Market News And Analysis - Investor's Business Daily</t>
        </is>
      </c>
      <c r="AD797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798">
      <c r="A798" t="inlineStr">
        <is>
          <t>2026-10-18T08:39:00+00:00</t>
        </is>
      </c>
      <c r="B798" t="inlineStr">
        <is>
          <t>2026-10-18</t>
        </is>
      </c>
      <c r="C798" t="inlineStr">
        <is>
          <t>Nasdaq</t>
        </is>
      </c>
      <c r="D798" t="inlineStr">
        <is>
          <t>NQ=F</t>
        </is>
      </c>
      <c r="E798" t="n">
        <v>29614.5</v>
      </c>
      <c r="F798" t="n">
        <v>29617</v>
      </c>
      <c r="G798" t="n">
        <v>29268.75</v>
      </c>
      <c r="H798" t="n">
        <v>29391.5</v>
      </c>
      <c r="I798" t="n">
        <v>304044</v>
      </c>
      <c r="J798" t="n">
        <v>4</v>
      </c>
      <c r="K798" t="n">
        <v>37</v>
      </c>
      <c r="L798" t="n">
        <v>-0.141</v>
      </c>
      <c r="M798" t="n">
        <v>-0.005</v>
      </c>
      <c r="N798" t="n">
        <v>32</v>
      </c>
      <c r="O798" t="n">
        <v>0.277</v>
      </c>
      <c r="P798" t="n">
        <v>0.07099999999999999</v>
      </c>
      <c r="Q798" t="n">
        <v>4.324</v>
      </c>
      <c r="R798" t="inlineStr">
        <is>
          <t>finbert</t>
        </is>
      </c>
      <c r="S798" t="inlineStr">
        <is>
          <t>Vera Bradley: Despite 140% Rally, The Stock Is Still Undervalued - Seeking Alpha</t>
        </is>
      </c>
      <c r="T798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8" t="inlineStr">
        <is>
          <t>These Consumer Stocks Are Getting a Lift as Investors Rotate Out of Tech - Investopedia</t>
        </is>
      </c>
      <c r="V79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8" t="inlineStr">
        <is>
          <t>Nasdaq indices surge as buyers break above key resistance - investingLive</t>
        </is>
      </c>
      <c r="X79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8" t="inlineStr">
        <is>
          <t>Dow Jones Futures Rise, But AI Sell-Off Continues On Anthropic News; Taiwan Semiconductor Earnings Strong - Investor's Business Daily</t>
        </is>
      </c>
      <c r="Z79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98" t="inlineStr">
        <is>
          <t>Micron Just Broke Support, So Buy MUU Into Strength (NASDAQ:MU) - Seeking Alpha</t>
        </is>
      </c>
      <c r="AB79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798" t="inlineStr">
        <is>
          <t>Stock Market Ends Week With Software Sell-Off; Nasdaq Dives 2%, Gives Up 200-Day Line - Investor's Business Daily</t>
        </is>
      </c>
      <c r="AD79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99">
      <c r="A799" t="inlineStr">
        <is>
          <t>2026-10-18T08:39:00+00:00</t>
        </is>
      </c>
      <c r="B799" t="inlineStr">
        <is>
          <t>2026-10-18</t>
        </is>
      </c>
      <c r="C799" t="inlineStr">
        <is>
          <t>Bitcoin</t>
        </is>
      </c>
      <c r="D799" t="inlineStr">
        <is>
          <t>BTC-USD</t>
        </is>
      </c>
      <c r="E799" t="n">
        <v>81694.49219999999</v>
      </c>
      <c r="F799" t="n">
        <v>81766.4062</v>
      </c>
      <c r="G799" t="n">
        <v>81507.5625</v>
      </c>
      <c r="H799" t="n">
        <v>81670.42969999999</v>
      </c>
      <c r="I799" t="n">
        <v>476388352</v>
      </c>
      <c r="J799" t="n">
        <v>4</v>
      </c>
      <c r="K799" t="n">
        <v>40</v>
      </c>
      <c r="L799" t="n">
        <v>0.361</v>
      </c>
      <c r="M799" t="n">
        <v>0.014</v>
      </c>
      <c r="N799" t="n">
        <v>34</v>
      </c>
      <c r="O799" t="n">
        <v>0.521</v>
      </c>
      <c r="P799" t="n">
        <v>-0.143</v>
      </c>
      <c r="Q799" t="n">
        <v>19.083</v>
      </c>
      <c r="R799" t="inlineStr">
        <is>
          <t>finbert</t>
        </is>
      </c>
      <c r="S799" t="inlineStr">
        <is>
          <t>Bitcoin surges 22% for the week as investor optimism floods back - CNBC</t>
        </is>
      </c>
      <c r="T79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9" t="inlineStr">
        <is>
          <t>Bitcoin Surges as Institutional Demand, Short Covering, Clarity Act Progress Converge - WSJ</t>
        </is>
      </c>
      <c r="V7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9" t="inlineStr">
        <is>
          <t>Hyperscale Data Stock Surges Beyond Bitcoin Mining Growth - Benzinga</t>
        </is>
      </c>
      <c r="X79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9" t="inlineStr">
        <is>
          <t>A Holder Who Put $100 a Month Into Bitcoin Since 2015 Has Paid In $14,000. Here Is What the Stack Is Worth Now. - 24/7 Wall St.</t>
        </is>
      </c>
      <c r="Z79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9" t="inlineStr">
        <is>
          <t>Bitcoin Sees $10.91 Million in Liquidations Over One Hour - tokenpost.com</t>
        </is>
      </c>
      <c r="AB799" t="inlineStr">
        <is>
          <t>https://news.google.com/rss/articles/CBMiVEFVX3lxTE1DX282WGpvT1dhNWtUbWNCZHhkSDBBLUdyLVVaQ2tQcFMySnNoWGVPaVhlRy1PaGJaMjl2MzdSUnFUcC1yU2VGckpXOTJUUkswWjBaMw?oc=5</t>
        </is>
      </c>
      <c r="AC799" t="inlineStr">
        <is>
          <t>Nearly $1 billion in crypto bets liquidated as bitcoin, ether and XRP slide - CoinDesk</t>
        </is>
      </c>
      <c r="AD79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00">
      <c r="A800" t="inlineStr">
        <is>
          <t>2026-10-18T15:31:25+00:00</t>
        </is>
      </c>
      <c r="B800" t="inlineStr">
        <is>
          <t>2026-10-18</t>
        </is>
      </c>
      <c r="C800" t="inlineStr">
        <is>
          <t>Gold</t>
        </is>
      </c>
      <c r="D800" t="inlineStr">
        <is>
          <t>GCZ26.CMX</t>
        </is>
      </c>
      <c r="E800" t="n">
        <v>4182.3999</v>
      </c>
      <c r="F800" t="n">
        <v>4193.2998</v>
      </c>
      <c r="G800" t="n">
        <v>4176.2998</v>
      </c>
      <c r="H800" t="n">
        <v>4181.1001</v>
      </c>
      <c r="I800" t="n">
        <v>20029</v>
      </c>
      <c r="J800" t="n">
        <v>4</v>
      </c>
      <c r="K800" t="n">
        <v>39</v>
      </c>
      <c r="L800" t="n">
        <v>0.155</v>
      </c>
      <c r="M800" t="n">
        <v>0.025</v>
      </c>
      <c r="N800" t="n">
        <v>40</v>
      </c>
      <c r="O800" t="n">
        <v>0.144</v>
      </c>
      <c r="P800" t="n">
        <v>0.055</v>
      </c>
      <c r="Q800" t="n">
        <v>5.408</v>
      </c>
      <c r="R800" t="inlineStr">
        <is>
          <t>finbert</t>
        </is>
      </c>
      <c r="S800" t="inlineStr">
        <is>
          <t>Highest Gold Price Ever: How Gold Reached $5,595 Faster Than Past Cycles - EBC Financial Group</t>
        </is>
      </c>
      <c r="T80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800" t="inlineStr">
        <is>
          <t>NVIDIA hits record high and lifts industrial metals - Mining.com.au</t>
        </is>
      </c>
      <c r="V80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00" t="inlineStr">
        <is>
          <t>World gold and silver prices surge, cash flow turns to safe haven assets - Laodong.vn</t>
        </is>
      </c>
      <c r="X80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800" t="inlineStr">
        <is>
          <t>Gold Breaks Down on Descending Triangle, Sets Up $4k Test - FOREX.com</t>
        </is>
      </c>
      <c r="Z8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0" t="inlineStr">
        <is>
          <t>Gold market sees positive ETF inflows in July, ending two months of outflows - Kitco</t>
        </is>
      </c>
      <c r="AB80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0" t="inlineStr">
        <is>
          <t>Weekly ETFs: All 11 sectors record inflows; Gold leads outflows - TradingView</t>
        </is>
      </c>
      <c r="AD80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1">
      <c r="A801" t="inlineStr">
        <is>
          <t>2026-10-18T15:31:25+00:00</t>
        </is>
      </c>
      <c r="B801" t="inlineStr">
        <is>
          <t>2026-10-18</t>
        </is>
      </c>
      <c r="C801" t="inlineStr">
        <is>
          <t>Oil</t>
        </is>
      </c>
      <c r="D801" t="inlineStr">
        <is>
          <t>CL=F</t>
        </is>
      </c>
      <c r="E801" t="n">
        <v>98.51000000000001</v>
      </c>
      <c r="F801" t="n">
        <v>99.34</v>
      </c>
      <c r="G801" t="n">
        <v>98.19</v>
      </c>
      <c r="H801" t="n">
        <v>99.02</v>
      </c>
      <c r="I801" t="n">
        <v>83134</v>
      </c>
      <c r="J801" t="n">
        <v>4</v>
      </c>
      <c r="K801" t="n">
        <v>40</v>
      </c>
      <c r="L801" t="n">
        <v>0.067</v>
      </c>
      <c r="M801" t="n">
        <v>-0.182</v>
      </c>
      <c r="N801" t="n">
        <v>40</v>
      </c>
      <c r="O801" t="n">
        <v>0.126</v>
      </c>
      <c r="P801" t="n">
        <v>-0.135</v>
      </c>
      <c r="Q801" t="n">
        <v>3.86</v>
      </c>
      <c r="R801" t="inlineStr">
        <is>
          <t>finbert</t>
        </is>
      </c>
      <c r="S801" t="inlineStr">
        <is>
          <t>Iran War Raises Demand for US Fuel, Boosting Gulf Coast Refining Margins - EnergyNow.com</t>
        </is>
      </c>
      <c r="T8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1" t="inlineStr">
        <is>
          <t>Oil surges 6%, Brent and US crude both surpass $100 on more tanker attacks - Reuters</t>
        </is>
      </c>
      <c r="V8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1" t="inlineStr">
        <is>
          <t>MPOB Monthly Report Imminent: Malaysia's Palm Oil Stockpiles May Surge Past 2.6 Million Tonnes as Strong El Niño Fuels Distant-Month Supply Cut Expectations - BigGo Finance</t>
        </is>
      </c>
      <c r="X80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1" t="inlineStr">
        <is>
          <t>OPEC Oil Output Rises 920,000 Bpd In Sept., Saudi Boosts Supply - MarketForces Africa</t>
        </is>
      </c>
      <c r="Z801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801" t="inlineStr">
        <is>
          <t>MCX Gold trades around ₹1.47 lakh per 10 gram, Silver breaks key support; check trade setup for Oct 14 - Upstox</t>
        </is>
      </c>
      <c r="AB80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801" t="inlineStr">
        <is>
          <t>Saudi Arabia leads OPEC+ production increase: September crude oil daily output rises by 900,000 barrels month-on-month - 富途牛牛</t>
        </is>
      </c>
      <c r="AD80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802">
      <c r="A802" t="inlineStr">
        <is>
          <t>2026-10-18T15:31:25+00:00</t>
        </is>
      </c>
      <c r="B802" t="inlineStr">
        <is>
          <t>2026-10-18</t>
        </is>
      </c>
      <c r="C802" t="inlineStr">
        <is>
          <t>US Dollar</t>
        </is>
      </c>
      <c r="D802" t="inlineStr">
        <is>
          <t>DX-Y.NYB</t>
        </is>
      </c>
      <c r="E802" t="n">
        <v>101.936</v>
      </c>
      <c r="F802" t="n">
        <v>101.965</v>
      </c>
      <c r="G802" t="n">
        <v>101.766</v>
      </c>
      <c r="H802" t="n">
        <v>101.779</v>
      </c>
      <c r="I802" t="n">
        <v>0</v>
      </c>
      <c r="J802" t="n">
        <v>4</v>
      </c>
      <c r="K802" t="n">
        <v>39</v>
      </c>
      <c r="L802" t="n">
        <v>-0.103</v>
      </c>
      <c r="M802" t="n">
        <v>0.134</v>
      </c>
      <c r="N802" t="n">
        <v>39</v>
      </c>
      <c r="O802" t="n">
        <v>0.483</v>
      </c>
      <c r="P802" t="n">
        <v>0.031</v>
      </c>
      <c r="Q802" t="n">
        <v>7.415</v>
      </c>
      <c r="R802" t="inlineStr">
        <is>
          <t>finbert</t>
        </is>
      </c>
      <c r="S802" t="inlineStr">
        <is>
          <t>Gold futures extend gains as safe-haven demand picks up. - CME Group</t>
        </is>
      </c>
      <c r="T80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2" t="inlineStr">
        <is>
          <t>Gold approaches $4,170, silver gains 3% as bond rally lifts precious metals - Kitco PM Report - Kitco</t>
        </is>
      </c>
      <c r="V80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2" t="inlineStr">
        <is>
          <t>Dollar Strengthens on Oil Surge &amp; Hawkish Fed Policy: ETFs to Benefit - TradingView</t>
        </is>
      </c>
      <c r="X802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2" t="inlineStr">
        <is>
          <t>DXY Falls on Thursday - TradingView</t>
        </is>
      </c>
      <c r="Z80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2" t="inlineStr">
        <is>
          <t>The bond market sell-off is helping the dollar - The Economist</t>
        </is>
      </c>
      <c r="AB80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02" t="inlineStr">
        <is>
          <t>Dollar-Yen Capped by Dovish Remarks from New York Fed President, Hovers in Lower 158 Range - BigGo Finance</t>
        </is>
      </c>
      <c r="AD80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03">
      <c r="A803" t="inlineStr">
        <is>
          <t>2026-10-18T15:31:25+00:00</t>
        </is>
      </c>
      <c r="B803" t="inlineStr">
        <is>
          <t>2026-10-18</t>
        </is>
      </c>
      <c r="C803" t="inlineStr">
        <is>
          <t>S&amp;P 500</t>
        </is>
      </c>
      <c r="D803" t="inlineStr">
        <is>
          <t>ES=F</t>
        </is>
      </c>
      <c r="E803" t="n">
        <v>7732.75</v>
      </c>
      <c r="F803" t="n">
        <v>7733</v>
      </c>
      <c r="G803" t="n">
        <v>7676</v>
      </c>
      <c r="H803" t="n">
        <v>7704.25</v>
      </c>
      <c r="I803" t="n">
        <v>1112460</v>
      </c>
      <c r="J803" t="n">
        <v>4</v>
      </c>
      <c r="K803" t="n">
        <v>40</v>
      </c>
      <c r="L803" t="n">
        <v>-0.094</v>
      </c>
      <c r="M803" t="n">
        <v>0.08799999999999999</v>
      </c>
      <c r="N803" t="n">
        <v>38</v>
      </c>
      <c r="O803" t="n">
        <v>0.382</v>
      </c>
      <c r="P803" t="n">
        <v>-0.008999999999999999</v>
      </c>
      <c r="Q803" t="n">
        <v>6.384</v>
      </c>
      <c r="R803" t="inlineStr">
        <is>
          <t>finbert</t>
        </is>
      </c>
      <c r="S803" t="inlineStr">
        <is>
          <t>IBRX Breaks Above This Key Resistance — Stock On Track To Record Best Single-Day Gains In 6 Months - Yahoo Finance</t>
        </is>
      </c>
      <c r="T80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3" t="inlineStr">
        <is>
          <t>Stock Market Today, Oct. 12: CCC Intelligent Solutions Surges 8% on Advanced Buyout Talks - The Motley Fool</t>
        </is>
      </c>
      <c r="V80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3" t="inlineStr">
        <is>
          <t>Stock Of The Day: Is CoreWeave About To Break Out? - TradingView</t>
        </is>
      </c>
      <c r="X80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3" t="inlineStr">
        <is>
          <t>AMD Beat Revenue at $11.5B and Data Center +107% — So Why Is the Stock Breaking $475 Support? - TradingKey</t>
        </is>
      </c>
      <c r="Z80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03" t="inlineStr">
        <is>
          <t>Dow Drops 49, Nasdaq Sinks 512, S&amp;P 500 Falls 87 - TV News Check</t>
        </is>
      </c>
      <c r="AB80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03" t="inlineStr">
        <is>
          <t>Dow Drops 175, Nasdaq Loses 573, S&amp;P 500 Falls 85 - TV News Check</t>
        </is>
      </c>
      <c r="AD80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04">
      <c r="A804" t="inlineStr">
        <is>
          <t>2026-10-18T15:31:25+00:00</t>
        </is>
      </c>
      <c r="B804" t="inlineStr">
        <is>
          <t>2026-10-18</t>
        </is>
      </c>
      <c r="C804" t="inlineStr">
        <is>
          <t>Nasdaq</t>
        </is>
      </c>
      <c r="D804" t="inlineStr">
        <is>
          <t>NQ=F</t>
        </is>
      </c>
      <c r="E804" t="n">
        <v>29614.5</v>
      </c>
      <c r="F804" t="n">
        <v>29617</v>
      </c>
      <c r="G804" t="n">
        <v>29268.75</v>
      </c>
      <c r="H804" t="n">
        <v>29391.5</v>
      </c>
      <c r="I804" t="n">
        <v>304044</v>
      </c>
      <c r="J804" t="n">
        <v>4</v>
      </c>
      <c r="K804" t="n">
        <v>36</v>
      </c>
      <c r="L804" t="n">
        <v>-0.122</v>
      </c>
      <c r="M804" t="n">
        <v>-0.004</v>
      </c>
      <c r="N804" t="n">
        <v>31</v>
      </c>
      <c r="O804" t="n">
        <v>0.369</v>
      </c>
      <c r="P804" t="n">
        <v>0.089</v>
      </c>
      <c r="Q804" t="n">
        <v>6.023</v>
      </c>
      <c r="R804" t="inlineStr">
        <is>
          <t>finbert</t>
        </is>
      </c>
      <c r="S804" t="inlineStr">
        <is>
          <t>Vera Bradley: Despite 140% Rally, The Stock Is Still Undervalued - Seeking Alpha</t>
        </is>
      </c>
      <c r="T804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804" t="inlineStr">
        <is>
          <t>These Consumer Stocks Are Getting a Lift as Investors Rotate Out of Tech - Investopedia</t>
        </is>
      </c>
      <c r="V80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04" t="inlineStr">
        <is>
          <t>Nasdaq indices surge as buyers break above key resistance - investingLive</t>
        </is>
      </c>
      <c r="X80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04" t="inlineStr">
        <is>
          <t>Micron Just Broke Support, So Buy MUU Into Strength (NASDAQ:MU) - Seeking Alpha</t>
        </is>
      </c>
      <c r="Z80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04" t="inlineStr">
        <is>
          <t>Stock Market Ends Week With Software Sell-Off; Nasdaq Dives 2%, Gives Up 200-Day Line - Investor's Business Daily</t>
        </is>
      </c>
      <c r="AB80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04" t="inlineStr">
        <is>
          <t>Stock Market Today: Stock Market News And Analysis - Investor's Business Daily</t>
        </is>
      </c>
      <c r="AD804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805">
      <c r="A805" t="inlineStr">
        <is>
          <t>2026-10-18T15:31:25+00:00</t>
        </is>
      </c>
      <c r="B805" t="inlineStr">
        <is>
          <t>2026-10-18</t>
        </is>
      </c>
      <c r="C805" t="inlineStr">
        <is>
          <t>Bitcoin</t>
        </is>
      </c>
      <c r="D805" t="inlineStr">
        <is>
          <t>BTC-USD</t>
        </is>
      </c>
      <c r="E805" t="n">
        <v>81945.71090000001</v>
      </c>
      <c r="F805" t="n">
        <v>82007.92969999999</v>
      </c>
      <c r="G805" t="n">
        <v>80919.97659999999</v>
      </c>
      <c r="H805" t="n">
        <v>81057.71090000001</v>
      </c>
      <c r="I805" t="n">
        <v>5503586304</v>
      </c>
      <c r="J805" t="n">
        <v>4</v>
      </c>
      <c r="K805" t="n">
        <v>39</v>
      </c>
      <c r="L805" t="n">
        <v>0.23</v>
      </c>
      <c r="M805" t="n">
        <v>0.003</v>
      </c>
      <c r="N805" t="n">
        <v>33</v>
      </c>
      <c r="O805" t="n">
        <v>0.48</v>
      </c>
      <c r="P805" t="n">
        <v>-0.183</v>
      </c>
      <c r="Q805" t="n">
        <v>15.415</v>
      </c>
      <c r="R805" t="inlineStr">
        <is>
          <t>finbert</t>
        </is>
      </c>
      <c r="S805" t="inlineStr">
        <is>
          <t>Bitcoin Surges Over 3% to Touch $80,000, Reaching More Than 3-Month High - TradingKey</t>
        </is>
      </c>
      <c r="T80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05" t="inlineStr">
        <is>
          <t>Bitcoin surges 22% for the week as investor optimism floods back - CNBC</t>
        </is>
      </c>
      <c r="V80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05" t="inlineStr">
        <is>
          <t>Bitcoin Surges as Institutional Demand, Short Covering, Clarity Act Progress Converge - WSJ</t>
        </is>
      </c>
      <c r="X8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805" t="inlineStr">
        <is>
          <t>Nearly $1 billion in crypto bets liquidated as bitcoin, ether and XRP slide - CoinDesk</t>
        </is>
      </c>
      <c r="Z80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805" t="inlineStr">
        <is>
          <t>Bitcoin retests $82,000 as $20 million in leveraged shorts get liquidated - TradingView</t>
        </is>
      </c>
      <c r="AB805" t="inlineStr">
        <is>
          <t>https://news.google.com/rss/articles/CBMi0gFBVV95cUxPTTQtWXktVmNBN0lid0pGMzFHVjZkd2gyM0NsTGg2WFdNZTVES3ZuWkZkTjhDZmZZQnRzaS1zSXRtaC1PMjJ1bHFaVkp4Rk5idGhrREVoZklCbEVVLTI5VUNxTVpSWEg4b3VhZ2ZwMm5NQTBtNkFGM2hrelgxZXJCNU1EaC1ucEt3a0FNN1oyNUhDQmRocUo5aWMzbVlnRTJINzV1WDFCaFFoVEZjNGFrZXNJZXoxUjBLcjJZc01paks1Mkc3aWFWZUZjQl8zOW11Wnc?oc=5</t>
        </is>
      </c>
      <c r="AC805" t="inlineStr">
        <is>
          <t>Bitcoin Price Analysis: Has the $80K Drop Killed BTC’s Bullish Setup? - CryptoPotato</t>
        </is>
      </c>
      <c r="AD805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06">
      <c r="A806" t="inlineStr">
        <is>
          <t>2026-10-18T18:31:07+00:00</t>
        </is>
      </c>
      <c r="B806" t="inlineStr">
        <is>
          <t>2026-10-18</t>
        </is>
      </c>
      <c r="C806" t="inlineStr">
        <is>
          <t>Gold</t>
        </is>
      </c>
      <c r="D806" t="inlineStr">
        <is>
          <t>GCZ26.CMX</t>
        </is>
      </c>
      <c r="E806" t="n">
        <v>4182.2998</v>
      </c>
      <c r="F806" t="n">
        <v>4193.2998</v>
      </c>
      <c r="G806" t="n">
        <v>4176.2998</v>
      </c>
      <c r="H806" t="n">
        <v>4181.1001</v>
      </c>
      <c r="I806" t="n">
        <v>20029</v>
      </c>
      <c r="J806" t="n">
        <v>4</v>
      </c>
      <c r="K806" t="n">
        <v>39</v>
      </c>
      <c r="L806" t="n">
        <v>0.106</v>
      </c>
      <c r="M806" t="n">
        <v>0.08</v>
      </c>
      <c r="N806" t="n">
        <v>40</v>
      </c>
      <c r="O806" t="n">
        <v>0.228</v>
      </c>
      <c r="P806" t="n">
        <v>0.079</v>
      </c>
      <c r="Q806" t="n">
        <v>6.131</v>
      </c>
      <c r="R806" t="inlineStr">
        <is>
          <t>finbert</t>
        </is>
      </c>
      <c r="S806" t="inlineStr">
        <is>
          <t>World gold and silver prices surge, cash flow turns to safe haven assets - Laodong.vn</t>
        </is>
      </c>
      <c r="T80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806" t="inlineStr">
        <is>
          <t>Gold approaches $4,170, silver gains 3% as bond rally lifts precious metals - Kitco PM Report - Kitco</t>
        </is>
      </c>
      <c r="V80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6" t="inlineStr">
        <is>
          <t>Gold hits record above $5,100 as geopolitics drive safe‑haven rush - Reuters</t>
        </is>
      </c>
      <c r="X8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806" t="inlineStr">
        <is>
          <t>Gold Breaks Down on Descending Triangle, Sets Up $4k Test - FOREX.com</t>
        </is>
      </c>
      <c r="Z8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6" t="inlineStr">
        <is>
          <t>Gold market sees positive ETF inflows in July, ending two months of outflows - Kitco</t>
        </is>
      </c>
      <c r="AB80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6" t="inlineStr">
        <is>
          <t>Weekly ETFs: All 11 sectors record inflows; Gold leads outflows - TradingView</t>
        </is>
      </c>
      <c r="AD80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7">
      <c r="A807" t="inlineStr">
        <is>
          <t>2026-10-18T18:31:07+00:00</t>
        </is>
      </c>
      <c r="B807" t="inlineStr">
        <is>
          <t>2026-10-18</t>
        </is>
      </c>
      <c r="C807" t="inlineStr">
        <is>
          <t>Oil</t>
        </is>
      </c>
      <c r="D807" t="inlineStr">
        <is>
          <t>CL=F</t>
        </is>
      </c>
      <c r="E807" t="n">
        <v>98.5</v>
      </c>
      <c r="F807" t="n">
        <v>99.34</v>
      </c>
      <c r="G807" t="n">
        <v>98.19</v>
      </c>
      <c r="H807" t="n">
        <v>99.02</v>
      </c>
      <c r="I807" t="n">
        <v>74893</v>
      </c>
      <c r="J807" t="n">
        <v>4</v>
      </c>
      <c r="K807" t="n">
        <v>40</v>
      </c>
      <c r="L807" t="n">
        <v>0.124</v>
      </c>
      <c r="M807" t="n">
        <v>-0.179</v>
      </c>
      <c r="N807" t="n">
        <v>40</v>
      </c>
      <c r="O807" t="n">
        <v>0.199</v>
      </c>
      <c r="P807" t="n">
        <v>-0.147</v>
      </c>
      <c r="Q807" t="n">
        <v>6.45</v>
      </c>
      <c r="R807" t="inlineStr">
        <is>
          <t>finbert</t>
        </is>
      </c>
      <c r="S807" t="inlineStr">
        <is>
          <t>Iran War Raises Demand for US Fuel, Boosting Gulf Coast Refining Margins - EnergyNow.com</t>
        </is>
      </c>
      <c r="T8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7" t="inlineStr">
        <is>
          <t>Oil surges 6%, Brent and US crude both surpass $100 on more tanker attacks - Reuters</t>
        </is>
      </c>
      <c r="V8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7" t="inlineStr">
        <is>
          <t>MPOB Monthly Report Imminent: Malaysia's Palm Oil Stockpiles May Surge Past 2.6 Million Tonnes as Strong El Niño Fuels Distant-Month Supply Cut Expectations - BigGo Finance</t>
        </is>
      </c>
      <c r="X80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7" t="inlineStr">
        <is>
          <t>MCX Gold trades around ₹1.47 lakh per 10 gram, Silver breaks key support; check trade setup for Oct 14 - Upstox</t>
        </is>
      </c>
      <c r="Z80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07" t="inlineStr">
        <is>
          <t>Saudi Arabia leads OPEC+ production increase: September crude oil daily output rises by 900,000 barrels month-on-month - 富途牛牛</t>
        </is>
      </c>
      <c r="AB80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07" t="inlineStr">
        <is>
          <t>Gulf oil production rebounds ahead of increase in Iran war hostilities - Financial Times</t>
        </is>
      </c>
      <c r="AD80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08">
      <c r="A808" t="inlineStr">
        <is>
          <t>2026-10-18T18:31:07+00:00</t>
        </is>
      </c>
      <c r="B808" t="inlineStr">
        <is>
          <t>2026-10-18</t>
        </is>
      </c>
      <c r="C808" t="inlineStr">
        <is>
          <t>US Dollar</t>
        </is>
      </c>
      <c r="D808" t="inlineStr">
        <is>
          <t>DX-Y.NYB</t>
        </is>
      </c>
      <c r="E808" t="n">
        <v>101.936</v>
      </c>
      <c r="F808" t="n">
        <v>101.965</v>
      </c>
      <c r="G808" t="n">
        <v>101.766</v>
      </c>
      <c r="H808" t="n">
        <v>101.779</v>
      </c>
      <c r="I808" t="n">
        <v>0</v>
      </c>
      <c r="J808" t="n">
        <v>4</v>
      </c>
      <c r="K808" t="n">
        <v>39</v>
      </c>
      <c r="L808" t="n">
        <v>-0.129</v>
      </c>
      <c r="M808" t="n">
        <v>0.123</v>
      </c>
      <c r="N808" t="n">
        <v>39</v>
      </c>
      <c r="O808" t="n">
        <v>0.432</v>
      </c>
      <c r="P808" t="n">
        <v>0.046</v>
      </c>
      <c r="Q808" t="n">
        <v>5.923</v>
      </c>
      <c r="R808" t="inlineStr">
        <is>
          <t>finbert</t>
        </is>
      </c>
      <c r="S808" t="inlineStr">
        <is>
          <t>Gold futures extend gains as safe-haven demand picks up. - CME Group</t>
        </is>
      </c>
      <c r="T80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8" t="inlineStr">
        <is>
          <t>Gold approaches $4,170, silver gains 3% as bond rally lifts precious metals - Kitco PM Report - Kitco</t>
        </is>
      </c>
      <c r="V80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8" t="inlineStr">
        <is>
          <t>Dollar Strengthens on Oil Surge &amp; Hawkish Fed Policy: ETFs to Benefit - TradingView</t>
        </is>
      </c>
      <c r="X808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8" t="inlineStr">
        <is>
          <t>DXY Falls on Thursday - TradingView</t>
        </is>
      </c>
      <c r="Z80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8" t="inlineStr">
        <is>
          <t>U.S. dollar snaps four-week win streak, helping the euro halt a five-week slide - Investing.com</t>
        </is>
      </c>
      <c r="AB808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08" t="inlineStr">
        <is>
          <t>Asia FX Talk - USD holds firm, yen falls, regional CPI in focus - MUFG Research</t>
        </is>
      </c>
      <c r="AD8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809">
      <c r="A809" t="inlineStr">
        <is>
          <t>2026-10-18T18:31:07+00:00</t>
        </is>
      </c>
      <c r="B809" t="inlineStr">
        <is>
          <t>2026-10-18</t>
        </is>
      </c>
      <c r="C809" t="inlineStr">
        <is>
          <t>S&amp;P 500</t>
        </is>
      </c>
      <c r="D809" t="inlineStr">
        <is>
          <t>ES=F</t>
        </is>
      </c>
      <c r="E809" t="n">
        <v>7732.75</v>
      </c>
      <c r="F809" t="n">
        <v>7733</v>
      </c>
      <c r="G809" t="n">
        <v>7676</v>
      </c>
      <c r="H809" t="n">
        <v>7704.25</v>
      </c>
      <c r="I809" t="n">
        <v>1036864</v>
      </c>
      <c r="J809" t="n">
        <v>4</v>
      </c>
      <c r="K809" t="n">
        <v>40</v>
      </c>
      <c r="L809" t="n">
        <v>-0.098</v>
      </c>
      <c r="M809" t="n">
        <v>0.07000000000000001</v>
      </c>
      <c r="N809" t="n">
        <v>37</v>
      </c>
      <c r="O809" t="n">
        <v>0.364</v>
      </c>
      <c r="P809" t="n">
        <v>-0.031</v>
      </c>
      <c r="Q809" t="n">
        <v>6.281</v>
      </c>
      <c r="R809" t="inlineStr">
        <is>
          <t>finbert</t>
        </is>
      </c>
      <c r="S809" t="inlineStr">
        <is>
          <t>IBRX Breaks Above This Key Resistance — Stock On Track To Record Best Single-Day Gains In 6 Months - Yahoo Finance</t>
        </is>
      </c>
      <c r="T80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9" t="inlineStr">
        <is>
          <t>Stock Market Today, Oct. 12: CCC Intelligent Solutions Surges 8% on Advanced Buyout Talks - The Motley Fool</t>
        </is>
      </c>
      <c r="V80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9" t="inlineStr">
        <is>
          <t>Stock Of The Day: Is CoreWeave About To Break Out? - TradingView</t>
        </is>
      </c>
      <c r="X80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9" t="inlineStr">
        <is>
          <t>Dow Drops 49, Nasdaq Sinks 512, S&amp;P 500 Falls 87 - TV News Check</t>
        </is>
      </c>
      <c r="Z80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09" t="inlineStr">
        <is>
          <t>Dow Drops 175, Nasdaq Loses 573, S&amp;P 500 Falls 85 - TV News Check</t>
        </is>
      </c>
      <c r="AB80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09" t="inlineStr">
        <is>
          <t>How Warren Buffett Handles Market Downturns—And What Investors Can Learn From His Approach - Investopedia</t>
        </is>
      </c>
      <c r="AD80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810">
      <c r="A810" t="inlineStr">
        <is>
          <t>2026-10-18T18:31:07+00:00</t>
        </is>
      </c>
      <c r="B810" t="inlineStr">
        <is>
          <t>2026-10-18</t>
        </is>
      </c>
      <c r="C810" t="inlineStr">
        <is>
          <t>Nasdaq</t>
        </is>
      </c>
      <c r="D810" t="inlineStr">
        <is>
          <t>NQ=F</t>
        </is>
      </c>
      <c r="E810" t="n">
        <v>29615</v>
      </c>
      <c r="F810" t="n">
        <v>29617</v>
      </c>
      <c r="G810" t="n">
        <v>29268.75</v>
      </c>
      <c r="H810" t="n">
        <v>29391.5</v>
      </c>
      <c r="I810" t="n">
        <v>304044</v>
      </c>
      <c r="J810" t="n">
        <v>4</v>
      </c>
      <c r="K810" t="n">
        <v>38</v>
      </c>
      <c r="L810" t="n">
        <v>-0.115</v>
      </c>
      <c r="M810" t="n">
        <v>0.004</v>
      </c>
      <c r="N810" t="n">
        <v>31</v>
      </c>
      <c r="O810" t="n">
        <v>0.378</v>
      </c>
      <c r="P810" t="n">
        <v>0.034</v>
      </c>
      <c r="Q810" t="n">
        <v>7.185</v>
      </c>
      <c r="R810" t="inlineStr">
        <is>
          <t>finbert</t>
        </is>
      </c>
      <c r="S810" t="inlineStr">
        <is>
          <t>These Consumer Stocks Are Getting a Lift as Investors Rotate Out of Tech - Investopedia</t>
        </is>
      </c>
      <c r="T81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0" t="inlineStr">
        <is>
          <t>Nasdaq indices surge as buyers break above key resistance - investingLive</t>
        </is>
      </c>
      <c r="V81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0" t="inlineStr">
        <is>
          <t>Global markets rally as tech stocks gain despite hotter-than-expected US producer inflation - Anadolu Ajansı</t>
        </is>
      </c>
      <c r="X810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0" t="inlineStr">
        <is>
          <t>Micron Just Broke Support, So Buy MUU Into Strength (NASDAQ:MU) - Seeking Alpha</t>
        </is>
      </c>
      <c r="Z81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0" t="inlineStr">
        <is>
          <t>Stock Market Ends Week With Software Sell-Off; Nasdaq Dives 2%, Gives Up 200-Day Line - Investor's Business Daily</t>
        </is>
      </c>
      <c r="AB81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0" t="inlineStr">
        <is>
          <t>Nasdaq 100 breaks 29,361 support, RSI at 23.5: Live levels - Investing.com</t>
        </is>
      </c>
      <c r="AD81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1">
      <c r="A811" t="inlineStr">
        <is>
          <t>2026-10-18T18:31:07+00:00</t>
        </is>
      </c>
      <c r="B811" t="inlineStr">
        <is>
          <t>2026-10-18</t>
        </is>
      </c>
      <c r="C811" t="inlineStr">
        <is>
          <t>Bitcoin</t>
        </is>
      </c>
      <c r="D811" t="inlineStr">
        <is>
          <t>BTC-USD</t>
        </is>
      </c>
      <c r="E811" t="n">
        <v>80999.96090000001</v>
      </c>
      <c r="F811" t="n">
        <v>81178.24219999999</v>
      </c>
      <c r="G811" t="n">
        <v>80889.0469</v>
      </c>
      <c r="H811" t="n">
        <v>81026.28909999999</v>
      </c>
      <c r="I811" t="n">
        <v>988487680</v>
      </c>
      <c r="J811" t="n">
        <v>4</v>
      </c>
      <c r="K811" t="n">
        <v>39</v>
      </c>
      <c r="L811" t="n">
        <v>0.256</v>
      </c>
      <c r="M811" t="n">
        <v>0.008</v>
      </c>
      <c r="N811" t="n">
        <v>31</v>
      </c>
      <c r="O811" t="n">
        <v>0.521</v>
      </c>
      <c r="P811" t="n">
        <v>-0.253</v>
      </c>
      <c r="Q811" t="n">
        <v>17.062</v>
      </c>
      <c r="R811" t="inlineStr">
        <is>
          <t>finbert</t>
        </is>
      </c>
      <c r="S811" t="inlineStr">
        <is>
          <t>Bitcoin Surges Over 3% to Touch $80,000, Reaching More Than 3-Month High - TradingKey</t>
        </is>
      </c>
      <c r="T81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1" t="inlineStr">
        <is>
          <t>Bitcoin Surges 40% In Its Best Quarter Since Late 2024 - Bitcoin Magazine</t>
        </is>
      </c>
      <c r="V81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1" t="inlineStr">
        <is>
          <t>Bitcoin surges 22% for the week as investor optimism floods back - CNBC</t>
        </is>
      </c>
      <c r="X81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1" t="inlineStr">
        <is>
          <t>‘Inverse Cramer’ in focus as CNBC host's AI pick crashes - TheStreet</t>
        </is>
      </c>
      <c r="Z81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1" t="inlineStr">
        <is>
          <t>Nearly $1 billion in crypto bets liquidated as bitcoin, ether and XRP slide - CoinDesk</t>
        </is>
      </c>
      <c r="AB81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1" t="inlineStr">
        <is>
          <t>Bitcoin Price Analysis: Has the $80K Drop Killed BTC’s Bullish Setup? - CryptoPotato</t>
        </is>
      </c>
      <c r="AD811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12">
      <c r="A812" t="inlineStr">
        <is>
          <t>2026-10-18T22:17:23+00:00</t>
        </is>
      </c>
      <c r="B812" t="inlineStr">
        <is>
          <t>2026-10-18</t>
        </is>
      </c>
      <c r="C812" t="inlineStr">
        <is>
          <t>Gold</t>
        </is>
      </c>
      <c r="D812" t="inlineStr">
        <is>
          <t>GCJ27.CMX</t>
        </is>
      </c>
      <c r="E812" t="n">
        <v>4264.2002</v>
      </c>
      <c r="F812" t="n">
        <v>4288.7998</v>
      </c>
      <c r="G812" t="n">
        <v>4239.2002</v>
      </c>
      <c r="H812" t="n">
        <v>4250.1001</v>
      </c>
      <c r="I812" t="n">
        <v>578</v>
      </c>
      <c r="J812" t="n">
        <v>4</v>
      </c>
      <c r="K812" t="n">
        <v>39</v>
      </c>
      <c r="L812" t="n">
        <v>0.174</v>
      </c>
      <c r="M812" t="n">
        <v>-0.003</v>
      </c>
      <c r="N812" t="n">
        <v>40</v>
      </c>
      <c r="O812" t="n">
        <v>0.229</v>
      </c>
      <c r="P812" t="n">
        <v>0.08</v>
      </c>
      <c r="Q812" t="n">
        <v>7.462</v>
      </c>
      <c r="R812" t="inlineStr">
        <is>
          <t>finbert</t>
        </is>
      </c>
      <c r="S812" t="inlineStr">
        <is>
          <t>NVIDIA hits record high and lifts industrial metals - Mining.com.au</t>
        </is>
      </c>
      <c r="T81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2" t="inlineStr">
        <is>
          <t>World gold and silver prices surge, cash flow turns to safe haven assets - Laodong.vn</t>
        </is>
      </c>
      <c r="V81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2" t="inlineStr">
        <is>
          <t>Gold approaches $4,170, silver gains 3% as bond rally lifts precious metals - Kitco PM Report - Kitco</t>
        </is>
      </c>
      <c r="X81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2" t="inlineStr">
        <is>
          <t>Gold Breaks Down on Descending Triangle, Sets Up $4k Test - FOREX.com</t>
        </is>
      </c>
      <c r="Z8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12" t="inlineStr">
        <is>
          <t>Gold market sees positive ETF inflows in July, ending two months of outflows - Kitco</t>
        </is>
      </c>
      <c r="AB81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12" t="inlineStr">
        <is>
          <t>Weekly ETFs: All 11 sectors record inflows; Gold leads outflows - TradingView</t>
        </is>
      </c>
      <c r="AD81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13">
      <c r="A813" t="inlineStr">
        <is>
          <t>2026-10-18T22:17:23+00:00</t>
        </is>
      </c>
      <c r="B813" t="inlineStr">
        <is>
          <t>2026-10-18</t>
        </is>
      </c>
      <c r="C813" t="inlineStr">
        <is>
          <t>Oil</t>
        </is>
      </c>
      <c r="D813" t="inlineStr">
        <is>
          <t>CL=F</t>
        </is>
      </c>
      <c r="E813" t="n">
        <v>98.59999999999999</v>
      </c>
      <c r="F813" t="n">
        <v>99.34</v>
      </c>
      <c r="G813" t="n">
        <v>98.3</v>
      </c>
      <c r="H813" t="n">
        <v>99.02</v>
      </c>
      <c r="I813" t="n">
        <v>42222</v>
      </c>
      <c r="J813" t="n">
        <v>4</v>
      </c>
      <c r="K813" t="n">
        <v>40</v>
      </c>
      <c r="L813" t="n">
        <v>0.091</v>
      </c>
      <c r="M813" t="n">
        <v>-0.253</v>
      </c>
      <c r="N813" t="n">
        <v>40</v>
      </c>
      <c r="O813" t="n">
        <v>0.149</v>
      </c>
      <c r="P813" t="n">
        <v>-0.144</v>
      </c>
      <c r="Q813" t="n">
        <v>4.8</v>
      </c>
      <c r="R813" t="inlineStr">
        <is>
          <t>finbert</t>
        </is>
      </c>
      <c r="S813" t="inlineStr">
        <is>
          <t>Iran War Raises Demand for US Fuel, Boosting Gulf Coast Refining Margins - EnergyNow.com</t>
        </is>
      </c>
      <c r="T8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3" t="inlineStr">
        <is>
          <t>Oil surges 6%, Brent and US crude both surpass $100 on more tanker attacks - Reuters</t>
        </is>
      </c>
      <c r="V8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3" t="inlineStr">
        <is>
          <t>London Gas Oil breaks resistance at $1,273: Live levels - Investing.com</t>
        </is>
      </c>
      <c r="X81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813" t="inlineStr">
        <is>
          <t>MCX Gold trades around ₹1.47 lakh per 10 gram, Silver breaks key support; check trade setup for Oct 14 - Upstox</t>
        </is>
      </c>
      <c r="Z81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3" t="inlineStr">
        <is>
          <t>Saudi Arabia leads OPEC+ production increase: September crude oil daily output rises by 900,000 barrels month-on-month - 富途牛牛</t>
        </is>
      </c>
      <c r="AB81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3" t="inlineStr">
        <is>
          <t>OPEC+ output rises 903,000 bpd in September as Saudi Arabia leads; OPEC lifts 2027 demand growth forecast - Oil &amp; Gas Middle East</t>
        </is>
      </c>
      <c r="AD813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14">
      <c r="A814" t="inlineStr">
        <is>
          <t>2026-10-18T22:17:23+00:00</t>
        </is>
      </c>
      <c r="B814" t="inlineStr">
        <is>
          <t>2026-10-18</t>
        </is>
      </c>
      <c r="C814" t="inlineStr">
        <is>
          <t>US Dollar</t>
        </is>
      </c>
      <c r="D814" t="inlineStr">
        <is>
          <t>DX-Y.NYB</t>
        </is>
      </c>
      <c r="E814" t="n">
        <v>101.891</v>
      </c>
      <c r="F814" t="n">
        <v>102.014</v>
      </c>
      <c r="G814" t="n">
        <v>101.766</v>
      </c>
      <c r="H814" t="n">
        <v>101.892</v>
      </c>
      <c r="I814" t="n">
        <v>0</v>
      </c>
      <c r="J814" t="n">
        <v>4</v>
      </c>
      <c r="K814" t="n">
        <v>38</v>
      </c>
      <c r="L814" t="n">
        <v>-0.108</v>
      </c>
      <c r="M814" t="n">
        <v>0.135</v>
      </c>
      <c r="N814" t="n">
        <v>39</v>
      </c>
      <c r="O814" t="n">
        <v>0.407</v>
      </c>
      <c r="P814" t="n">
        <v>0.046</v>
      </c>
      <c r="Q814" t="n">
        <v>5.384</v>
      </c>
      <c r="R814" t="inlineStr">
        <is>
          <t>finbert</t>
        </is>
      </c>
      <c r="S814" t="inlineStr">
        <is>
          <t>Gold futures extend gains as safe-haven demand picks up. - CME Group</t>
        </is>
      </c>
      <c r="T81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14" t="inlineStr">
        <is>
          <t>Gold approaches $4,170, silver gains 3% as bond rally lifts precious metals - Kitco PM Report - Kitco</t>
        </is>
      </c>
      <c r="V81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14" t="inlineStr">
        <is>
          <t>Dollar Strengthens on Oil Surge &amp; Hawkish Fed Policy: ETFs to Benefit - TradingView</t>
        </is>
      </c>
      <c r="X814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14" t="inlineStr">
        <is>
          <t>DXY Falls on Thursday - TradingView</t>
        </is>
      </c>
      <c r="Z81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14" t="inlineStr">
        <is>
          <t>U.S. dollar snaps four-week win streak, helping the euro halt a five-week slide - Investing.com</t>
        </is>
      </c>
      <c r="AB814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14" t="inlineStr">
        <is>
          <t>The bond market sell-off is helping the dollar - The Economist</t>
        </is>
      </c>
      <c r="AD81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15">
      <c r="A815" t="inlineStr">
        <is>
          <t>2026-10-18T22:17:23+00:00</t>
        </is>
      </c>
      <c r="B815" t="inlineStr">
        <is>
          <t>2026-10-18</t>
        </is>
      </c>
      <c r="C815" t="inlineStr">
        <is>
          <t>S&amp;P 500</t>
        </is>
      </c>
      <c r="D815" t="inlineStr">
        <is>
          <t>ES=F</t>
        </is>
      </c>
      <c r="E815" t="n">
        <v>7703.25</v>
      </c>
      <c r="F815" t="n">
        <v>7708.75</v>
      </c>
      <c r="G815" t="n">
        <v>7676</v>
      </c>
      <c r="H815" t="n">
        <v>7704.25</v>
      </c>
      <c r="I815" t="n">
        <v>673017</v>
      </c>
      <c r="J815" t="n">
        <v>4</v>
      </c>
      <c r="K815" t="n">
        <v>39</v>
      </c>
      <c r="L815" t="n">
        <v>-0.128</v>
      </c>
      <c r="M815" t="n">
        <v>0.07000000000000001</v>
      </c>
      <c r="N815" t="n">
        <v>37</v>
      </c>
      <c r="O815" t="n">
        <v>0.304</v>
      </c>
      <c r="P815" t="n">
        <v>-0.063</v>
      </c>
      <c r="Q815" t="n">
        <v>4.118</v>
      </c>
      <c r="R815" t="inlineStr">
        <is>
          <t>finbert</t>
        </is>
      </c>
      <c r="S815" t="inlineStr">
        <is>
          <t>IBRX Breaks Above This Key Resistance — Stock On Track To Record Best Single-Day Gains In 6 Months - Yahoo Finance</t>
        </is>
      </c>
      <c r="T81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15" t="inlineStr">
        <is>
          <t>Stock Market Today, Oct. 12: CCC Intelligent Solutions Surges 8% on Advanced Buyout Talks - The Motley Fool</t>
        </is>
      </c>
      <c r="V81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15" t="inlineStr">
        <is>
          <t>Stock Of The Day: Is CoreWeave About To Break Out? - TradingView</t>
        </is>
      </c>
      <c r="X81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15" t="inlineStr">
        <is>
          <t>AMD Beat Revenue at $11.5B and Data Center +107% — So Why Is the Stock Breaking $475 Support? - TradingKey</t>
        </is>
      </c>
      <c r="Z81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15" t="inlineStr">
        <is>
          <t>Dow Drops 49, Nasdaq Sinks 512, S&amp;P 500 Falls 87 - TV News Check</t>
        </is>
      </c>
      <c r="AB81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15" t="inlineStr">
        <is>
          <t>Dow Drops 175, Nasdaq Loses 573, S&amp;P 500 Falls 85 - TV News Check</t>
        </is>
      </c>
      <c r="AD81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16">
      <c r="A816" t="inlineStr">
        <is>
          <t>2026-10-18T22:17:23+00:00</t>
        </is>
      </c>
      <c r="B816" t="inlineStr">
        <is>
          <t>2026-10-18</t>
        </is>
      </c>
      <c r="C816" t="inlineStr">
        <is>
          <t>Nasdaq</t>
        </is>
      </c>
      <c r="D816" t="inlineStr">
        <is>
          <t>NQ=F</t>
        </is>
      </c>
      <c r="E816" t="n">
        <v>29448.25</v>
      </c>
      <c r="F816" t="n">
        <v>29461.75</v>
      </c>
      <c r="G816" t="n">
        <v>29268.75</v>
      </c>
      <c r="H816" t="n">
        <v>29391.5</v>
      </c>
      <c r="I816" t="n">
        <v>209130</v>
      </c>
      <c r="J816" t="n">
        <v>4</v>
      </c>
      <c r="K816" t="n">
        <v>37</v>
      </c>
      <c r="L816" t="n">
        <v>-0.099</v>
      </c>
      <c r="M816" t="n">
        <v>0.004</v>
      </c>
      <c r="N816" t="n">
        <v>32</v>
      </c>
      <c r="O816" t="n">
        <v>0.216</v>
      </c>
      <c r="P816" t="n">
        <v>-0.003</v>
      </c>
      <c r="Q816" t="n">
        <v>4.123</v>
      </c>
      <c r="R816" t="inlineStr">
        <is>
          <t>finbert</t>
        </is>
      </c>
      <c r="S816" t="inlineStr">
        <is>
          <t>These Consumer Stocks Are Getting a Lift as Investors Rotate Out of Tech - Investopedia</t>
        </is>
      </c>
      <c r="T81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6" t="inlineStr">
        <is>
          <t>Nasdaq indices surge as buyers break above key resistance - investingLive</t>
        </is>
      </c>
      <c r="V8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6" t="inlineStr">
        <is>
          <t>Global markets rally as tech stocks gain despite hotter-than-expected US producer inflation - Anadolu Ajansı</t>
        </is>
      </c>
      <c r="X81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6" t="inlineStr">
        <is>
          <t>Micron Just Broke Support, So Buy MUU Into Strength (NASDAQ:MU) - Seeking Alpha</t>
        </is>
      </c>
      <c r="Z81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6" t="inlineStr">
        <is>
          <t>Stock Market Ends Week With Software Sell-Off; Nasdaq Dives 2%, Gives Up 200-Day Line - Investor's Business Daily</t>
        </is>
      </c>
      <c r="AB81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6" t="inlineStr">
        <is>
          <t>Nasdaq 100 breaks 29,361 support, RSI at 23.5: Live levels - Investing.com</t>
        </is>
      </c>
      <c r="AD81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7">
      <c r="A817" t="inlineStr">
        <is>
          <t>2026-10-18T22:17:23+00:00</t>
        </is>
      </c>
      <c r="B817" t="inlineStr">
        <is>
          <t>2026-10-18</t>
        </is>
      </c>
      <c r="C817" t="inlineStr">
        <is>
          <t>Bitcoin</t>
        </is>
      </c>
      <c r="D817" t="inlineStr">
        <is>
          <t>BTC-USD</t>
        </is>
      </c>
      <c r="E817" t="n">
        <v>81089.85159999999</v>
      </c>
      <c r="F817" t="n">
        <v>81591.6562</v>
      </c>
      <c r="G817" t="n">
        <v>80601.6562</v>
      </c>
      <c r="H817" t="n">
        <v>81488.7812</v>
      </c>
      <c r="I817" t="n">
        <v>3142958080</v>
      </c>
      <c r="J817" t="n">
        <v>4</v>
      </c>
      <c r="K817" t="n">
        <v>39</v>
      </c>
      <c r="L817" t="n">
        <v>0.229</v>
      </c>
      <c r="M817" t="n">
        <v>0.036</v>
      </c>
      <c r="N817" t="n">
        <v>32</v>
      </c>
      <c r="O817" t="n">
        <v>0.504</v>
      </c>
      <c r="P817" t="n">
        <v>-0.248</v>
      </c>
      <c r="Q817" t="n">
        <v>16.03</v>
      </c>
      <c r="R817" t="inlineStr">
        <is>
          <t>finbert</t>
        </is>
      </c>
      <c r="S817" t="inlineStr">
        <is>
          <t>Bitcoin Surges Over 3% to Touch $80,000, Reaching More Than 3-Month High - TradingKey</t>
        </is>
      </c>
      <c r="T81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7" t="inlineStr">
        <is>
          <t>Bitcoin Surges 40% In Its Best Quarter Since Late 2024 - Bitcoin Magazine</t>
        </is>
      </c>
      <c r="V81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7" t="inlineStr">
        <is>
          <t>Bitcoin surges 22% for the week as investor optimism floods back - CNBC</t>
        </is>
      </c>
      <c r="X81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7" t="inlineStr">
        <is>
          <t>‘Inverse Cramer’ in focus as CNBC host's AI pick crashes - TheStreet</t>
        </is>
      </c>
      <c r="Z81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7" t="inlineStr">
        <is>
          <t>Nearly $1 billion in crypto bets liquidated as bitcoin, ether and XRP slide - CoinDesk</t>
        </is>
      </c>
      <c r="AB81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7" t="inlineStr">
        <is>
          <t>Bitcoin Whipsaws as Crypto Liquidations Near $1 Billion - Decrypt</t>
        </is>
      </c>
      <c r="AD81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818">
      <c r="A818" t="inlineStr">
        <is>
          <t>2026-10-19T03:38:23+00:00</t>
        </is>
      </c>
      <c r="B818" t="inlineStr">
        <is>
          <t>2026-10-19</t>
        </is>
      </c>
      <c r="C818" t="inlineStr">
        <is>
          <t>Gold</t>
        </is>
      </c>
      <c r="D818" t="inlineStr">
        <is>
          <t>GCZ26.CMX</t>
        </is>
      </c>
      <c r="E818" t="n">
        <v>4205.5</v>
      </c>
      <c r="F818" t="n">
        <v>4208.3999</v>
      </c>
      <c r="G818" t="n">
        <v>4185.6001</v>
      </c>
      <c r="H818" t="n">
        <v>4199.8999</v>
      </c>
      <c r="I818" t="n">
        <v>14030</v>
      </c>
      <c r="J818" t="n">
        <v>4</v>
      </c>
      <c r="K818" t="n">
        <v>39</v>
      </c>
      <c r="L818" t="n">
        <v>0.07000000000000001</v>
      </c>
      <c r="M818" t="n">
        <v>0.027</v>
      </c>
      <c r="N818" t="n">
        <v>40</v>
      </c>
      <c r="O818" t="n">
        <v>0.208</v>
      </c>
      <c r="P818" t="n">
        <v>0.042</v>
      </c>
      <c r="Q818" t="n">
        <v>5.011</v>
      </c>
      <c r="R818" t="inlineStr">
        <is>
          <t>finbert</t>
        </is>
      </c>
      <c r="S818" t="inlineStr">
        <is>
          <t>NVIDIA hits record high and lifts industrial metals - Mining.com.au</t>
        </is>
      </c>
      <c r="T81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8" t="inlineStr">
        <is>
          <t>World gold and silver prices surge, cash flow turns to safe haven assets - Laodong.vn</t>
        </is>
      </c>
      <c r="V81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8" t="inlineStr">
        <is>
          <t>Gold approaches $4,170, silver gains 3% as bond rally lifts precious metals - Kitco PM Report - Kitco</t>
        </is>
      </c>
      <c r="X81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8" t="inlineStr">
        <is>
          <t>Gold market sees positive ETF inflows in July, ending two months of outflows - Kitco</t>
        </is>
      </c>
      <c r="Z81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18" t="inlineStr">
        <is>
          <t>Weekly ETFs: All 11 sectors record inflows; Gold leads outflows - TradingView</t>
        </is>
      </c>
      <c r="AB81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  <c r="AC818" t="inlineStr">
        <is>
          <t>Gold rebounds as global equity sell-off weigh on Treasury yields - www.tmgm.com</t>
        </is>
      </c>
      <c r="AD818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19">
      <c r="A819" t="inlineStr">
        <is>
          <t>2026-10-19T03:38:23+00:00</t>
        </is>
      </c>
      <c r="B819" t="inlineStr">
        <is>
          <t>2026-10-19</t>
        </is>
      </c>
      <c r="C819" t="inlineStr">
        <is>
          <t>Oil</t>
        </is>
      </c>
      <c r="D819" t="inlineStr">
        <is>
          <t>CL=F</t>
        </is>
      </c>
      <c r="E819" t="n">
        <v>97.68000000000001</v>
      </c>
      <c r="F819" t="n">
        <v>98.11</v>
      </c>
      <c r="G819" t="n">
        <v>97.40000000000001</v>
      </c>
      <c r="H819" t="n">
        <v>97.53</v>
      </c>
      <c r="I819" t="n">
        <v>13906</v>
      </c>
      <c r="J819" t="n">
        <v>4</v>
      </c>
      <c r="K819" t="n">
        <v>40</v>
      </c>
      <c r="L819" t="n">
        <v>0.113</v>
      </c>
      <c r="M819" t="n">
        <v>-0.208</v>
      </c>
      <c r="N819" t="n">
        <v>40</v>
      </c>
      <c r="O819" t="n">
        <v>0.124</v>
      </c>
      <c r="P819" t="n">
        <v>-0.151</v>
      </c>
      <c r="Q819" t="n">
        <v>4.749</v>
      </c>
      <c r="R819" t="inlineStr">
        <is>
          <t>finbert</t>
        </is>
      </c>
      <c r="S819" t="inlineStr">
        <is>
          <t>Iran War Raises Demand for US Fuel, Boosting Gulf Coast Refining Margins - EnergyNow.com</t>
        </is>
      </c>
      <c r="T8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9" t="inlineStr">
        <is>
          <t>Oil surges 6%, Brent and US crude both surpass $100 on more tanker attacks - Reuters</t>
        </is>
      </c>
      <c r="V8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9" t="inlineStr">
        <is>
          <t>MPOB Monthly Report Imminent: Malaysia's Palm Oil Stockpiles May Surge Past 2.6 Million Tonnes as Strong El Niño Fuels Distant-Month Supply Cut Expectations - BigGo Finance</t>
        </is>
      </c>
      <c r="X81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19" t="inlineStr">
        <is>
          <t>MCX Gold trades around ₹1.47 lakh per 10 gram, Silver breaks key support; check trade setup for Oct 14 - Upstox</t>
        </is>
      </c>
      <c r="Z81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9" t="inlineStr">
        <is>
          <t>Saudi Arabia leads OPEC+ production increase: September crude oil daily output rises by 900,000 barrels month-on-month - 富途牛牛</t>
        </is>
      </c>
      <c r="AB81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9" t="inlineStr">
        <is>
          <t>OPEC+ output rises 903,000 bpd in September as Saudi Arabia leads; OPEC lifts 2027 demand growth forecast - Oil &amp; Gas Middle East</t>
        </is>
      </c>
      <c r="AD81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0">
      <c r="A820" t="inlineStr">
        <is>
          <t>2026-10-19T03:38:23+00:00</t>
        </is>
      </c>
      <c r="B820" t="inlineStr">
        <is>
          <t>2026-10-19</t>
        </is>
      </c>
      <c r="C820" t="inlineStr">
        <is>
          <t>US Dollar</t>
        </is>
      </c>
      <c r="D820" t="inlineStr">
        <is>
          <t>DX-Y.NYB</t>
        </is>
      </c>
      <c r="E820" t="n">
        <v>101.809</v>
      </c>
      <c r="F820" t="n">
        <v>101.871</v>
      </c>
      <c r="G820" t="n">
        <v>101.769</v>
      </c>
      <c r="H820" t="n">
        <v>101.84</v>
      </c>
      <c r="I820" t="n">
        <v>0</v>
      </c>
      <c r="J820" t="n">
        <v>4</v>
      </c>
      <c r="K820" t="n">
        <v>39</v>
      </c>
      <c r="L820" t="n">
        <v>0.003</v>
      </c>
      <c r="M820" t="n">
        <v>0.112</v>
      </c>
      <c r="N820" t="n">
        <v>39</v>
      </c>
      <c r="O820" t="n">
        <v>0.437</v>
      </c>
      <c r="P820" t="n">
        <v>0.005</v>
      </c>
      <c r="Q820" t="n">
        <v>8.579000000000001</v>
      </c>
      <c r="R820" t="inlineStr">
        <is>
          <t>finbert</t>
        </is>
      </c>
      <c r="S820" t="inlineStr">
        <is>
          <t>Gold futures extend gains as safe-haven demand picks up. - CME Group</t>
        </is>
      </c>
      <c r="T82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0" t="inlineStr">
        <is>
          <t>Gold approaches $4,170, silver gains 3% as bond rally lifts precious metals - Kitco PM Report - Kitco</t>
        </is>
      </c>
      <c r="V82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0" t="inlineStr">
        <is>
          <t>New Zealand Dollar strengthens above 0.5650 on strong China's GDP data - FXStreet</t>
        </is>
      </c>
      <c r="X82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0" t="inlineStr">
        <is>
          <t>DXY Falls on Thursday - TradingView</t>
        </is>
      </c>
      <c r="Z82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20" t="inlineStr">
        <is>
          <t>The bond market sell-off is helping the dollar - The Economist</t>
        </is>
      </c>
      <c r="AB82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20" t="inlineStr">
        <is>
          <t>Dollar-Yen Capped by Dovish Remarks from New York Fed President, Hovers in Lower 158 Range - BigGo Finance</t>
        </is>
      </c>
      <c r="AD82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21">
      <c r="A821" t="inlineStr">
        <is>
          <t>2026-10-19T03:38:23+00:00</t>
        </is>
      </c>
      <c r="B821" t="inlineStr">
        <is>
          <t>2026-10-19</t>
        </is>
      </c>
      <c r="C821" t="inlineStr">
        <is>
          <t>S&amp;P 500</t>
        </is>
      </c>
      <c r="D821" t="inlineStr">
        <is>
          <t>ES=F</t>
        </is>
      </c>
      <c r="E821" t="n">
        <v>7739.75</v>
      </c>
      <c r="F821" t="n">
        <v>7766.5</v>
      </c>
      <c r="G821" t="n">
        <v>7735.75</v>
      </c>
      <c r="H821" t="n">
        <v>7766.25</v>
      </c>
      <c r="I821" t="n">
        <v>65165</v>
      </c>
      <c r="J821" t="n">
        <v>4</v>
      </c>
      <c r="K821" t="n">
        <v>40</v>
      </c>
      <c r="L821" t="n">
        <v>-0.07099999999999999</v>
      </c>
      <c r="M821" t="n">
        <v>0.061</v>
      </c>
      <c r="N821" t="n">
        <v>37</v>
      </c>
      <c r="O821" t="n">
        <v>0.309</v>
      </c>
      <c r="P821" t="n">
        <v>-0.002</v>
      </c>
      <c r="Q821" t="n">
        <v>5.796</v>
      </c>
      <c r="R821" t="inlineStr">
        <is>
          <t>finbert</t>
        </is>
      </c>
      <c r="S821" t="inlineStr">
        <is>
          <t>IBRX Breaks Above This Key Resistance — Stock On Track To Record Best Single-Day Gains In 6 Months - Yahoo Finance</t>
        </is>
      </c>
      <c r="T82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1" t="inlineStr">
        <is>
          <t>Stock Of The Day: Is CoreWeave About To Break Out? - TradingView</t>
        </is>
      </c>
      <c r="V82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821" t="inlineStr">
        <is>
          <t>Schwab Tops Estimates as Client Assets Grow Amid Market Surge - Bloomberg.com</t>
        </is>
      </c>
      <c r="X821" t="inlineStr">
        <is>
          <t>https://news.google.com/rss/articles/CBMisgFBVV95cUxONk4zYW9XXzJoLXZSemdEZ1FFYlJKLXdUcnhoQkU0R01vSWw4RTZpSEh6TExGQ2NLV3hLUUQ4ZEtyNEp6cEYzNWFTLVFDdjB6TDVqTWFZOUVjUm9VUHFWYmFBUVhLOGkxbUdZOVM4T29OaktPYXRHOHF4Q1d3R0VNSjVveUJaRjdXMm9PMjVqM1JaTGFDdlltaDdKN3NSQ29Wb2NLWTZUQ3l6LWZldHJHTUZR?oc=5</t>
        </is>
      </c>
      <c r="Y821" t="inlineStr">
        <is>
          <t>AMD Beat Revenue at $11.5B and Data Center +107% — So Why Is the Stock Breaking $475 Support? - TradingKey</t>
        </is>
      </c>
      <c r="Z82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1" t="inlineStr">
        <is>
          <t>Dow Drops 49, Nasdaq Sinks 512, S&amp;P 500 Falls 87 - TV News Check</t>
        </is>
      </c>
      <c r="AB82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1" t="inlineStr">
        <is>
          <t>Dow Drops 175, Nasdaq Loses 573, S&amp;P 500 Falls 85 - TV News Check</t>
        </is>
      </c>
      <c r="AD82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2">
      <c r="A822" t="inlineStr">
        <is>
          <t>2026-10-19T03:38:23+00:00</t>
        </is>
      </c>
      <c r="B822" t="inlineStr">
        <is>
          <t>2026-10-19</t>
        </is>
      </c>
      <c r="C822" t="inlineStr">
        <is>
          <t>Nasdaq</t>
        </is>
      </c>
      <c r="D822" t="inlineStr">
        <is>
          <t>NQ=F</t>
        </is>
      </c>
      <c r="E822" t="n">
        <v>29629.25</v>
      </c>
      <c r="F822" t="n">
        <v>29790.25</v>
      </c>
      <c r="G822" t="n">
        <v>29611.75</v>
      </c>
      <c r="H822" t="n">
        <v>29778.25</v>
      </c>
      <c r="I822" t="n">
        <v>35922</v>
      </c>
      <c r="J822" t="n">
        <v>4</v>
      </c>
      <c r="K822" t="n">
        <v>37</v>
      </c>
      <c r="L822" t="n">
        <v>-0.053</v>
      </c>
      <c r="M822" t="n">
        <v>-0.003</v>
      </c>
      <c r="N822" t="n">
        <v>33</v>
      </c>
      <c r="O822" t="n">
        <v>0.264</v>
      </c>
      <c r="P822" t="n">
        <v>0.021</v>
      </c>
      <c r="Q822" t="n">
        <v>5.364</v>
      </c>
      <c r="R822" t="inlineStr">
        <is>
          <t>finbert</t>
        </is>
      </c>
      <c r="S822" t="inlineStr">
        <is>
          <t>These Consumer Stocks Are Getting a Lift as Investors Rotate Out of Tech - Investopedia</t>
        </is>
      </c>
      <c r="T82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22" t="inlineStr">
        <is>
          <t>Nasdaq indices surge as buyers break above key resistance - investingLive</t>
        </is>
      </c>
      <c r="V8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22" t="inlineStr">
        <is>
          <t>Global markets rally as tech stocks gain despite hotter-than-expected US producer inflation - Anadolu Ajansı</t>
        </is>
      </c>
      <c r="X822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22" t="inlineStr">
        <is>
          <t>Micron Just Broke Support, So Buy MUU Into Strength (NASDAQ:MU) - Seeking Alpha</t>
        </is>
      </c>
      <c r="Z82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2" t="inlineStr">
        <is>
          <t>Stock Market Ends Week With Software Sell-Off; Nasdaq Dives 2%, Gives Up 200-Day Line - Investor's Business Daily</t>
        </is>
      </c>
      <c r="AB82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2" t="inlineStr">
        <is>
          <t>Nasdaq 100 breaks 29,361 support, RSI at 23.5: Live levels - Investing.com</t>
        </is>
      </c>
      <c r="AD82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3">
      <c r="A823" t="inlineStr">
        <is>
          <t>2026-10-19T03:38:23+00:00</t>
        </is>
      </c>
      <c r="B823" t="inlineStr">
        <is>
          <t>2026-10-19</t>
        </is>
      </c>
      <c r="C823" t="inlineStr">
        <is>
          <t>Bitcoin</t>
        </is>
      </c>
      <c r="D823" t="inlineStr">
        <is>
          <t>BTC-USD</t>
        </is>
      </c>
      <c r="E823" t="n">
        <v>81980.6719</v>
      </c>
      <c r="F823" t="n">
        <v>82715.9375</v>
      </c>
      <c r="G823" t="n">
        <v>81909.25780000001</v>
      </c>
      <c r="H823" t="n">
        <v>82479.7188</v>
      </c>
      <c r="I823" t="n">
        <v>2394871808</v>
      </c>
      <c r="J823" t="n">
        <v>4</v>
      </c>
      <c r="K823" t="n">
        <v>39</v>
      </c>
      <c r="L823" t="n">
        <v>0.244</v>
      </c>
      <c r="M823" t="n">
        <v>0.041</v>
      </c>
      <c r="N823" t="n">
        <v>31</v>
      </c>
      <c r="O823" t="n">
        <v>0.472</v>
      </c>
      <c r="P823" t="n">
        <v>-0.283</v>
      </c>
      <c r="Q823" t="n">
        <v>16.062</v>
      </c>
      <c r="R823" t="inlineStr">
        <is>
          <t>finbert</t>
        </is>
      </c>
      <c r="S823" t="inlineStr">
        <is>
          <t>Bitcoin Surges Over 3% to Touch $80,000, Reaching More Than 3-Month High - TradingKey</t>
        </is>
      </c>
      <c r="T82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23" t="inlineStr">
        <is>
          <t>Bitcoin Surges 40% In Its Best Quarter Since Late 2024 - Bitcoin Magazine</t>
        </is>
      </c>
      <c r="V82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23" t="inlineStr">
        <is>
          <t>Bitcoin surges 22% for the week as investor optimism floods back - CNBC</t>
        </is>
      </c>
      <c r="X82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3" t="inlineStr">
        <is>
          <t>Long Positions Account for 96% of $32.96 Million in Crypto Liquidations - TOKENPOST</t>
        </is>
      </c>
      <c r="Z823" t="inlineStr">
        <is>
          <t>https://news.google.com/rss/articles/CBMiWkFVX3lxTE43SVJ1WVNLdkZxU3lfWGMxemdUakIzVkE1cl9HckxURTY0MXFLQTlxMkxiN1R5Vlp3WTRCRFhiLUN4V0FiVV9ZaVktNnA3dndzSHYtOUdGZkJVZw?oc=5</t>
        </is>
      </c>
      <c r="AA823" t="inlineStr">
        <is>
          <t>‘Inverse Cramer’ in focus as CNBC host's AI pick crashes - TheStreet</t>
        </is>
      </c>
      <c r="AB82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C823" t="inlineStr">
        <is>
          <t>Nearly $1 billion in crypto bets liquidated as bitcoin, ether and XRP slide - CoinDesk</t>
        </is>
      </c>
      <c r="AD82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24">
      <c r="A824" t="inlineStr">
        <is>
          <t>2026-10-19T09:41:24+00:00</t>
        </is>
      </c>
      <c r="B824" t="inlineStr">
        <is>
          <t>2026-10-19</t>
        </is>
      </c>
      <c r="C824" t="inlineStr">
        <is>
          <t>Gold</t>
        </is>
      </c>
      <c r="D824" t="inlineStr">
        <is>
          <t>GCZ26.CMX</t>
        </is>
      </c>
      <c r="E824" t="n">
        <v>4205.2002</v>
      </c>
      <c r="F824" t="n">
        <v>4211.2002</v>
      </c>
      <c r="G824" t="n">
        <v>4188</v>
      </c>
      <c r="H824" t="n">
        <v>4188.5</v>
      </c>
      <c r="I824" t="n">
        <v>18135</v>
      </c>
      <c r="J824" t="n">
        <v>4</v>
      </c>
      <c r="K824" t="n">
        <v>39</v>
      </c>
      <c r="L824" t="n">
        <v>0.08799999999999999</v>
      </c>
      <c r="M824" t="n">
        <v>0.003</v>
      </c>
      <c r="N824" t="n">
        <v>40</v>
      </c>
      <c r="O824" t="n">
        <v>0.129</v>
      </c>
      <c r="P824" t="n">
        <v>0.058</v>
      </c>
      <c r="Q824" t="n">
        <v>3.814</v>
      </c>
      <c r="R824" t="inlineStr">
        <is>
          <t>finbert</t>
        </is>
      </c>
      <c r="S824" t="inlineStr">
        <is>
          <t>Gold set for fresh record on strong precious metals sentiment - Yahoo Finance Singapore</t>
        </is>
      </c>
      <c r="T82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24" t="inlineStr">
        <is>
          <t>NVIDIA hits record high and lifts industrial metals - Mining.com.au</t>
        </is>
      </c>
      <c r="V82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24" t="inlineStr">
        <is>
          <t>China gold market update: Q3 ends with strong official gold buying | Post by Ray Jia | Insights - World Gold Council</t>
        </is>
      </c>
      <c r="X82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24" t="inlineStr">
        <is>
          <t>Gold market sees positive ETF inflows in July, ending two months of outflows - Kitco</t>
        </is>
      </c>
      <c r="Z82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24" t="inlineStr">
        <is>
          <t>Weekly ETFs: All 11 sectors record inflows; Gold leads outflows - TradingView</t>
        </is>
      </c>
      <c r="AB824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  <c r="AC824" t="inlineStr">
        <is>
          <t>Gold rebounds as global equity sell-off weigh on Treasury yields - www.tmgm.com</t>
        </is>
      </c>
      <c r="AD82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25">
      <c r="A825" t="inlineStr">
        <is>
          <t>2026-10-19T09:41:24+00:00</t>
        </is>
      </c>
      <c r="B825" t="inlineStr">
        <is>
          <t>2026-10-19</t>
        </is>
      </c>
      <c r="C825" t="inlineStr">
        <is>
          <t>Oil</t>
        </is>
      </c>
      <c r="D825" t="inlineStr">
        <is>
          <t>CL=F</t>
        </is>
      </c>
      <c r="E825" t="n">
        <v>97.23</v>
      </c>
      <c r="F825" t="n">
        <v>98.2</v>
      </c>
      <c r="G825" t="n">
        <v>96.72</v>
      </c>
      <c r="H825" t="n">
        <v>98.12</v>
      </c>
      <c r="I825" t="n">
        <v>29200</v>
      </c>
      <c r="J825" t="n">
        <v>4</v>
      </c>
      <c r="K825" t="n">
        <v>40</v>
      </c>
      <c r="L825" t="n">
        <v>-0.021</v>
      </c>
      <c r="M825" t="n">
        <v>-0.251</v>
      </c>
      <c r="N825" t="n">
        <v>40</v>
      </c>
      <c r="O825" t="n">
        <v>0.004</v>
      </c>
      <c r="P825" t="n">
        <v>-0.064</v>
      </c>
      <c r="Q825" t="n">
        <v>-0.34</v>
      </c>
      <c r="R825" t="inlineStr">
        <is>
          <t>finbert</t>
        </is>
      </c>
      <c r="S825" t="inlineStr">
        <is>
          <t>Iran War Raises Demand for US Fuel, Boosting Gulf Coast Refining Margins - EnergyNow.com</t>
        </is>
      </c>
      <c r="T8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25" t="inlineStr">
        <is>
          <t>Oil surges 6%, Brent and US crude both surpass $100 on more tanker attacks - Reuters</t>
        </is>
      </c>
      <c r="V8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25" t="inlineStr">
        <is>
          <t>Global oil demand to rise sharply in 2027, led by India, non-OECD Asia: OPEC - BusinessLine</t>
        </is>
      </c>
      <c r="X82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25" t="inlineStr">
        <is>
          <t>MCX Gold trades around ₹1.47 lakh per 10 gram, Silver breaks key support; check trade setup for Oct 14 - Upstox</t>
        </is>
      </c>
      <c r="Z82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25" t="inlineStr">
        <is>
          <t>Saudi Arabia leads OPEC+ production increase: September crude oil daily output rises by 900,000 barrels month-on-month - 富途牛牛</t>
        </is>
      </c>
      <c r="AB82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25" t="inlineStr">
        <is>
          <t>OPEC+ output rises 903,000 bpd in September as Saudi Arabia leads; OPEC lifts 2027 demand growth forecast - Oil &amp; Gas Middle East</t>
        </is>
      </c>
      <c r="AD82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6">
      <c r="A826" t="inlineStr">
        <is>
          <t>2026-10-19T09:41:24+00:00</t>
        </is>
      </c>
      <c r="B826" t="inlineStr">
        <is>
          <t>2026-10-19</t>
        </is>
      </c>
      <c r="C826" t="inlineStr">
        <is>
          <t>US Dollar</t>
        </is>
      </c>
      <c r="D826" t="inlineStr">
        <is>
          <t>DX-Y.NYB</t>
        </is>
      </c>
      <c r="E826" t="n">
        <v>101.856</v>
      </c>
      <c r="F826" t="n">
        <v>102.08</v>
      </c>
      <c r="G826" t="n">
        <v>101.782</v>
      </c>
      <c r="H826" t="n">
        <v>101.911</v>
      </c>
      <c r="I826" t="n">
        <v>0</v>
      </c>
      <c r="J826" t="n">
        <v>4</v>
      </c>
      <c r="K826" t="n">
        <v>39</v>
      </c>
      <c r="L826" t="n">
        <v>-0.08</v>
      </c>
      <c r="M826" t="n">
        <v>0.132</v>
      </c>
      <c r="N826" t="n">
        <v>39</v>
      </c>
      <c r="O826" t="n">
        <v>0.386</v>
      </c>
      <c r="P826" t="n">
        <v>-0.01</v>
      </c>
      <c r="Q826" t="n">
        <v>5.978</v>
      </c>
      <c r="R826" t="inlineStr">
        <is>
          <t>finbert</t>
        </is>
      </c>
      <c r="S826" t="inlineStr">
        <is>
          <t>Gold futures extend gains as safe-haven demand picks up. - CME Group</t>
        </is>
      </c>
      <c r="T8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6" t="inlineStr">
        <is>
          <t>Gold approaches $4,170, silver gains 3% as bond rally lifts precious metals - Kitco PM Report - Kitco</t>
        </is>
      </c>
      <c r="V82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6" t="inlineStr">
        <is>
          <t>New Zealand Dollar strengthens above 0.5650 on strong China's GDP data - FXStreet</t>
        </is>
      </c>
      <c r="X82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6" t="inlineStr">
        <is>
          <t>Indian Rupee gains as AI sell-off keeps US Dollar under pressure - FXStreet</t>
        </is>
      </c>
      <c r="Z826" t="inlineStr">
        <is>
          <t>https://news.google.com/rss/articles/CBMiqwFBVV95cUxQQlFGdF9FUHJjU2xGSnBiUkJKeFdteUZuMV9UVVBVTmtMaXlwSVphRGM1MF84c21CNG9VcHEyX0YyM3p2cURLU0pFV09OaXhzVU9LOU9uYjc2ZTk4aTZ2eWU3ZmRUX0x4UFRORkd3VHhHZ01TQ1BDZVY3OHRUTFhrQVM4V19UdEpFMk9sanpJeGxiWEVKXzRYVWw3bXByT1JNNDEzY2pfNkNNWWs?oc=5</t>
        </is>
      </c>
      <c r="AA826" t="inlineStr">
        <is>
          <t>DXY Falls on Thursday - TradingView</t>
        </is>
      </c>
      <c r="AB82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26" t="inlineStr">
        <is>
          <t>The bond market sell-off is helping the dollar - The Economist</t>
        </is>
      </c>
      <c r="AD82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27">
      <c r="A827" t="inlineStr">
        <is>
          <t>2026-10-19T09:41:24+00:00</t>
        </is>
      </c>
      <c r="B827" t="inlineStr">
        <is>
          <t>2026-10-19</t>
        </is>
      </c>
      <c r="C827" t="inlineStr">
        <is>
          <t>S&amp;P 500</t>
        </is>
      </c>
      <c r="D827" t="inlineStr">
        <is>
          <t>ES=F</t>
        </is>
      </c>
      <c r="E827" t="n">
        <v>7766.5</v>
      </c>
      <c r="F827" t="n">
        <v>7766.75</v>
      </c>
      <c r="G827" t="n">
        <v>7737.25</v>
      </c>
      <c r="H827" t="n">
        <v>7743.5</v>
      </c>
      <c r="I827" t="n">
        <v>71204</v>
      </c>
      <c r="J827" t="n">
        <v>4</v>
      </c>
      <c r="K827" t="n">
        <v>40</v>
      </c>
      <c r="L827" t="n">
        <v>-0.038</v>
      </c>
      <c r="M827" t="n">
        <v>0.022</v>
      </c>
      <c r="N827" t="n">
        <v>39</v>
      </c>
      <c r="O827" t="n">
        <v>0.324</v>
      </c>
      <c r="P827" t="n">
        <v>-0.067</v>
      </c>
      <c r="Q827" t="n">
        <v>6.051</v>
      </c>
      <c r="R827" t="inlineStr">
        <is>
          <t>finbert</t>
        </is>
      </c>
      <c r="S827" t="inlineStr">
        <is>
          <t>IBRX Breaks Above This Key Resistance — Stock On Track To Record Best Single-Day Gains In 6 Months - Yahoo Finance</t>
        </is>
      </c>
      <c r="T82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7" t="inlineStr">
        <is>
          <t>Stock Market Today, Oct. 12: CCC Intelligent Solutions Surges 8% on Advanced Buyout Talks - The Motley Fool</t>
        </is>
      </c>
      <c r="V82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27" t="inlineStr">
        <is>
          <t>S&amp;P500, Nasdaq End Higher, Dow Hits Record High On Strong Mag 7 Performance And Falling Oil Prices — BA, XOM, CVX, HOOD, AMD In Focus - Stocktwits</t>
        </is>
      </c>
      <c r="X82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27" t="inlineStr">
        <is>
          <t>AMD Beat Revenue at $11.5B and Data Center +107% — So Why Is the Stock Breaking $475 Support? - TradingKey</t>
        </is>
      </c>
      <c r="Z8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7" t="inlineStr">
        <is>
          <t>Dow Drops 49, Nasdaq Sinks 512, S&amp;P 500 Falls 87 - TV News Check</t>
        </is>
      </c>
      <c r="AB82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7" t="inlineStr">
        <is>
          <t>Dow Drops 175, Nasdaq Loses 573, S&amp;P 500 Falls 85 - TV News Check</t>
        </is>
      </c>
      <c r="AD82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8">
      <c r="A828" t="inlineStr">
        <is>
          <t>2026-10-19T09:41:24+00:00</t>
        </is>
      </c>
      <c r="B828" t="inlineStr">
        <is>
          <t>2026-10-19</t>
        </is>
      </c>
      <c r="C828" t="inlineStr">
        <is>
          <t>Nasdaq</t>
        </is>
      </c>
      <c r="D828" t="inlineStr">
        <is>
          <t>NQ=F</t>
        </is>
      </c>
      <c r="E828" t="n">
        <v>29801.5</v>
      </c>
      <c r="F828" t="n">
        <v>29813.5</v>
      </c>
      <c r="G828" t="n">
        <v>29669</v>
      </c>
      <c r="H828" t="n">
        <v>29712.5</v>
      </c>
      <c r="I828" t="n">
        <v>33940</v>
      </c>
      <c r="J828" t="n">
        <v>4</v>
      </c>
      <c r="K828" t="n">
        <v>36</v>
      </c>
      <c r="L828" t="n">
        <v>-0.057</v>
      </c>
      <c r="M828" t="n">
        <v>-0.017</v>
      </c>
      <c r="N828" t="n">
        <v>34</v>
      </c>
      <c r="O828" t="n">
        <v>0.273</v>
      </c>
      <c r="P828" t="n">
        <v>-0.013</v>
      </c>
      <c r="Q828" t="n">
        <v>4.604</v>
      </c>
      <c r="R828" t="inlineStr">
        <is>
          <t>finbert</t>
        </is>
      </c>
      <c r="S828" t="inlineStr">
        <is>
          <t>Bitcoin jumps to $82,500, stocks rise as China GDP beats estimates - CoinDesk</t>
        </is>
      </c>
      <c r="T828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28" t="inlineStr">
        <is>
          <t>These Consumer Stocks Are Getting a Lift as Investors Rotate Out of Tech - Investopedia</t>
        </is>
      </c>
      <c r="V82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28" t="inlineStr">
        <is>
          <t>Nasdaq indices surge as buyers break above key resistance - investingLive</t>
        </is>
      </c>
      <c r="X82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28" t="inlineStr">
        <is>
          <t>Micron Just Broke Support, So Buy MUU Into Strength (NASDAQ:MU) - Seeking Alpha</t>
        </is>
      </c>
      <c r="Z82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8" t="inlineStr">
        <is>
          <t>Stock Market Ends Week With Software Sell-Off; Nasdaq Dives 2%, Gives Up 200-Day Line - Investor's Business Daily</t>
        </is>
      </c>
      <c r="AB82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8" t="inlineStr">
        <is>
          <t>Nasdaq 100 breaks 29,361 support, RSI at 23.5: Live levels - Investing.com</t>
        </is>
      </c>
      <c r="AD82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9">
      <c r="A829" t="inlineStr">
        <is>
          <t>2026-10-19T09:41:24+00:00</t>
        </is>
      </c>
      <c r="B829" t="inlineStr">
        <is>
          <t>2026-10-19</t>
        </is>
      </c>
      <c r="C829" t="inlineStr">
        <is>
          <t>Bitcoin</t>
        </is>
      </c>
      <c r="D829" t="inlineStr">
        <is>
          <t>BTC-USD</t>
        </is>
      </c>
      <c r="E829" t="n">
        <v>82673.2188</v>
      </c>
      <c r="F829" t="n">
        <v>83056.49219999999</v>
      </c>
      <c r="G829" t="n">
        <v>82500.3125</v>
      </c>
      <c r="H829" t="n">
        <v>82946</v>
      </c>
      <c r="I829" t="n">
        <v>3166752768</v>
      </c>
      <c r="J829" t="n">
        <v>4</v>
      </c>
      <c r="K829" t="n">
        <v>39</v>
      </c>
      <c r="L829" t="n">
        <v>0.116</v>
      </c>
      <c r="M829" t="n">
        <v>0.061</v>
      </c>
      <c r="N829" t="n">
        <v>32</v>
      </c>
      <c r="O829" t="n">
        <v>0.474</v>
      </c>
      <c r="P829" t="n">
        <v>-0.193</v>
      </c>
      <c r="Q829" t="n">
        <v>13.335</v>
      </c>
      <c r="R829" t="inlineStr">
        <is>
          <t>finbert</t>
        </is>
      </c>
      <c r="S829" t="inlineStr">
        <is>
          <t>Bitcoin Surges 40% In Its Best Quarter Since Late 2024 - Bitcoin Magazine</t>
        </is>
      </c>
      <c r="T82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29" t="inlineStr">
        <is>
          <t>Bitcoin jumps to $83,000, stocks rise as China GDP beats estimates - CoinDesk</t>
        </is>
      </c>
      <c r="V82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29" t="inlineStr">
        <is>
          <t>Bitcoin surges 22% for the week as investor optimism floods back - CNBC</t>
        </is>
      </c>
      <c r="X82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9" t="inlineStr">
        <is>
          <t>Bitcoin Shorts Account for $12.82 Million in One-Hour Liquidations - TOKENPOST</t>
        </is>
      </c>
      <c r="Z829" t="inlineStr">
        <is>
          <t>https://news.google.com/rss/articles/CBMiWkFVX3lxTE9QazA4UHA4RzRBMTJxQWNmUVdNY3RHenZkbENmUkhwR0V0dHRTN3dWbWJXazhDR2lHZVAxWklHV2V3YVBLWkNLN3YxaXZudXlxTklEQXdpdWdXUQ?oc=5</t>
        </is>
      </c>
      <c r="AA829" t="inlineStr">
        <is>
          <t>A Holder Who Put $100 a Month Into Bitcoin Since 2015 Has Paid In $14,000. Here Is What the Stack Is Worth Now. - 24/7 Wall St.</t>
        </is>
      </c>
      <c r="AB82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29" t="inlineStr">
        <is>
          <t>Nearly $1 billion in crypto bets liquidated as bitcoin, ether and XRP slide - CoinDesk</t>
        </is>
      </c>
      <c r="AD82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2026-10-17</t>
        </is>
      </c>
      <c r="B35" t="inlineStr">
        <is>
          <t>Bitcoin</t>
        </is>
      </c>
      <c r="C35" t="n">
        <v>198</v>
      </c>
      <c r="D35" t="n">
        <v>173</v>
      </c>
      <c r="E35" t="n">
        <v>14.607</v>
      </c>
      <c r="F35">
        <f>IF(B34=B35, IFERROR((E35-E34)/ABS(E34), "n/a"), "")</f>
        <v/>
      </c>
      <c r="G35" t="n">
        <v>81399.6765</v>
      </c>
    </row>
    <row r="36">
      <c r="A36" t="inlineStr">
        <is>
          <t>2026-10-18</t>
        </is>
      </c>
      <c r="B36" t="inlineStr">
        <is>
          <t>Bitcoin</t>
        </is>
      </c>
      <c r="C36" t="n">
        <v>197</v>
      </c>
      <c r="D36" t="n">
        <v>166</v>
      </c>
      <c r="E36" t="n">
        <v>16.924</v>
      </c>
      <c r="F36">
        <f>IF(B35=B36, IFERROR((E36-E35)/ABS(E35), "n/a"), "")</f>
        <v/>
      </c>
      <c r="G36" t="n">
        <v>81393.9984</v>
      </c>
    </row>
    <row r="37">
      <c r="A37" t="inlineStr">
        <is>
          <t>2026-09-14</t>
        </is>
      </c>
      <c r="B37" t="inlineStr">
        <is>
          <t>Gold</t>
        </is>
      </c>
      <c r="C37" t="n">
        <v>234</v>
      </c>
      <c r="D37" t="n">
        <v>240</v>
      </c>
      <c r="E37" t="n">
        <v>-0.5659999999999999</v>
      </c>
      <c r="F37">
        <f>IF(B36=B37, IFERROR((E37-E36)/ABS(E36), "n/a"), "")</f>
        <v/>
      </c>
      <c r="G37" t="n">
        <v>4344.16</v>
      </c>
    </row>
    <row r="38">
      <c r="A38" t="inlineStr">
        <is>
          <t>2026-09-15</t>
        </is>
      </c>
      <c r="B38" t="inlineStr">
        <is>
          <t>Gold</t>
        </is>
      </c>
      <c r="C38" t="n">
        <v>158</v>
      </c>
      <c r="D38" t="n">
        <v>160</v>
      </c>
      <c r="E38" t="n">
        <v>0.9360000000000001</v>
      </c>
      <c r="F38">
        <f>IF(B37=B38, IFERROR((E38-E37)/ABS(E37), "n/a"), "")</f>
        <v/>
      </c>
      <c r="G38" t="n">
        <v>4330.35</v>
      </c>
    </row>
    <row r="39">
      <c r="A39" t="inlineStr">
        <is>
          <t>2026-09-16</t>
        </is>
      </c>
      <c r="B39" t="inlineStr">
        <is>
          <t>Gold</t>
        </is>
      </c>
      <c r="C39" t="n">
        <v>156</v>
      </c>
      <c r="D39" t="n">
        <v>160</v>
      </c>
      <c r="E39" t="n">
        <v>-1.849</v>
      </c>
      <c r="F39">
        <f>IF(B38=B39, IFERROR((E39-E38)/ABS(E38), "n/a"), "")</f>
        <v/>
      </c>
      <c r="G39" t="n">
        <v>4379.0751</v>
      </c>
    </row>
    <row r="40">
      <c r="A40" t="inlineStr">
        <is>
          <t>2026-09-17</t>
        </is>
      </c>
      <c r="B40" t="inlineStr">
        <is>
          <t>Gold</t>
        </is>
      </c>
      <c r="C40" t="n">
        <v>157</v>
      </c>
      <c r="D40" t="n">
        <v>160</v>
      </c>
      <c r="E40" t="n">
        <v>-1.002</v>
      </c>
      <c r="F40">
        <f>IF(B39=B40, IFERROR((E40-E39)/ABS(E39), "n/a"), "")</f>
        <v/>
      </c>
      <c r="G40" t="n">
        <v>4369.6499</v>
      </c>
    </row>
    <row r="41">
      <c r="A41" t="inlineStr">
        <is>
          <t>2026-09-18</t>
        </is>
      </c>
      <c r="B41" t="inlineStr">
        <is>
          <t>Gold</t>
        </is>
      </c>
      <c r="C41" t="n">
        <v>158</v>
      </c>
      <c r="D41" t="n">
        <v>152</v>
      </c>
      <c r="E41" t="n">
        <v>0.025</v>
      </c>
      <c r="F41">
        <f>IF(B40=B41, IFERROR((E41-E40)/ABS(E40), "n/a"), "")</f>
        <v/>
      </c>
      <c r="G41" t="n">
        <v>4406.44</v>
      </c>
    </row>
    <row r="42">
      <c r="A42" t="inlineStr">
        <is>
          <t>2026-09-19</t>
        </is>
      </c>
      <c r="B42" t="inlineStr">
        <is>
          <t>Gold</t>
        </is>
      </c>
      <c r="C42" t="n">
        <v>199</v>
      </c>
      <c r="D42" t="n">
        <v>200</v>
      </c>
      <c r="E42" t="n">
        <v>0.844</v>
      </c>
      <c r="F42">
        <f>IF(B41=B42, IFERROR((E42-E41)/ABS(E41), "n/a"), "")</f>
        <v/>
      </c>
      <c r="G42" t="n">
        <v>4423.0999</v>
      </c>
    </row>
    <row r="43">
      <c r="A43" t="inlineStr">
        <is>
          <t>2026-09-20</t>
        </is>
      </c>
      <c r="B43" t="inlineStr">
        <is>
          <t>Gold</t>
        </is>
      </c>
      <c r="C43" t="n">
        <v>196</v>
      </c>
      <c r="D43" t="n">
        <v>200</v>
      </c>
      <c r="E43" t="n">
        <v>0.295</v>
      </c>
      <c r="F43">
        <f>IF(B42=B43, IFERROR((E43-E42)/ABS(E42), "n/a"), "")</f>
        <v/>
      </c>
      <c r="G43" t="n">
        <v>4439.6199</v>
      </c>
    </row>
    <row r="44">
      <c r="A44" t="inlineStr">
        <is>
          <t>2026-09-21</t>
        </is>
      </c>
      <c r="B44" t="inlineStr">
        <is>
          <t>Gold</t>
        </is>
      </c>
      <c r="C44" t="n">
        <v>157</v>
      </c>
      <c r="D44" t="n">
        <v>160</v>
      </c>
      <c r="E44" t="n">
        <v>2.682</v>
      </c>
      <c r="F44">
        <f>IF(B43=B44, IFERROR((E44-E43)/ABS(E43), "n/a"), "")</f>
        <v/>
      </c>
      <c r="G44" t="n">
        <v>4391.025</v>
      </c>
    </row>
    <row r="45">
      <c r="A45" t="inlineStr">
        <is>
          <t>2026-09-22</t>
        </is>
      </c>
      <c r="B45" t="inlineStr">
        <is>
          <t>Gold</t>
        </is>
      </c>
      <c r="C45" t="n">
        <v>158</v>
      </c>
      <c r="D45" t="n">
        <v>160</v>
      </c>
      <c r="E45" t="n">
        <v>3.15</v>
      </c>
      <c r="F45">
        <f>IF(B44=B45, IFERROR((E45-E44)/ABS(E44), "n/a"), "")</f>
        <v/>
      </c>
      <c r="G45" t="n">
        <v>4391.3002</v>
      </c>
    </row>
    <row r="46">
      <c r="A46" t="inlineStr">
        <is>
          <t>2026-09-23</t>
        </is>
      </c>
      <c r="B46" t="inlineStr">
        <is>
          <t>Gold</t>
        </is>
      </c>
      <c r="C46" t="n">
        <v>157</v>
      </c>
      <c r="D46" t="n">
        <v>160</v>
      </c>
      <c r="E46" t="n">
        <v>0.364</v>
      </c>
      <c r="F46">
        <f>IF(B45=B46, IFERROR((E46-E45)/ABS(E45), "n/a"), "")</f>
        <v/>
      </c>
      <c r="G46" t="n">
        <v>4344.4</v>
      </c>
    </row>
    <row r="47">
      <c r="A47" t="inlineStr">
        <is>
          <t>2026-09-24</t>
        </is>
      </c>
      <c r="B47" t="inlineStr">
        <is>
          <t>Gold</t>
        </is>
      </c>
      <c r="C47" t="n">
        <v>156</v>
      </c>
      <c r="D47" t="n">
        <v>160</v>
      </c>
      <c r="E47" t="n">
        <v>-1.03</v>
      </c>
      <c r="F47">
        <f>IF(B46=B47, IFERROR((E47-E46)/ABS(E46), "n/a"), "")</f>
        <v/>
      </c>
      <c r="G47" t="n">
        <v>4309.5</v>
      </c>
    </row>
    <row r="48">
      <c r="A48" t="inlineStr">
        <is>
          <t>2026-09-25</t>
        </is>
      </c>
      <c r="B48" t="inlineStr">
        <is>
          <t>Gold</t>
        </is>
      </c>
      <c r="C48" t="n">
        <v>197</v>
      </c>
      <c r="D48" t="n">
        <v>200</v>
      </c>
      <c r="E48" t="n">
        <v>-2.692</v>
      </c>
      <c r="F48">
        <f>IF(B47=B48, IFERROR((E48-E47)/ABS(E47), "n/a"), "")</f>
        <v/>
      </c>
      <c r="G48" t="n">
        <v>4319.64</v>
      </c>
    </row>
    <row r="49">
      <c r="A49" t="inlineStr">
        <is>
          <t>2026-09-26</t>
        </is>
      </c>
      <c r="B49" t="inlineStr">
        <is>
          <t>Gold</t>
        </is>
      </c>
      <c r="C49" t="n">
        <v>195</v>
      </c>
      <c r="D49" t="n">
        <v>200</v>
      </c>
      <c r="E49" t="n">
        <v>-3.94</v>
      </c>
      <c r="F49">
        <f>IF(B48=B49, IFERROR((E49-E48)/ABS(E48), "n/a"), "")</f>
        <v/>
      </c>
      <c r="G49" t="n">
        <v>4321.0602</v>
      </c>
    </row>
    <row r="50">
      <c r="A50" t="inlineStr">
        <is>
          <t>2026-09-27</t>
        </is>
      </c>
      <c r="B50" t="inlineStr">
        <is>
          <t>Gold</t>
        </is>
      </c>
      <c r="C50" t="n">
        <v>156</v>
      </c>
      <c r="D50" t="n">
        <v>160</v>
      </c>
      <c r="E50" t="n">
        <v>-1.662</v>
      </c>
      <c r="F50">
        <f>IF(B49=B50, IFERROR((E50-E49)/ABS(E49), "n/a"), "")</f>
        <v/>
      </c>
      <c r="G50" t="n">
        <v>4315.1502</v>
      </c>
    </row>
    <row r="51">
      <c r="A51" t="inlineStr">
        <is>
          <t>2026-09-28</t>
        </is>
      </c>
      <c r="B51" t="inlineStr">
        <is>
          <t>Gold</t>
        </is>
      </c>
      <c r="C51" t="n">
        <v>79</v>
      </c>
      <c r="D51" t="n">
        <v>80</v>
      </c>
      <c r="E51" t="n">
        <v>1.23</v>
      </c>
      <c r="F51">
        <f>IF(B50=B51, IFERROR((E51-E50)/ABS(E50), "n/a"), "")</f>
        <v/>
      </c>
      <c r="G51" t="n">
        <v>4209.6499</v>
      </c>
    </row>
    <row r="52">
      <c r="A52" t="inlineStr">
        <is>
          <t>2026-09-29</t>
        </is>
      </c>
      <c r="B52" t="inlineStr">
        <is>
          <t>Gold</t>
        </is>
      </c>
      <c r="C52" t="n">
        <v>156</v>
      </c>
      <c r="D52" t="n">
        <v>160</v>
      </c>
      <c r="E52" t="n">
        <v>0.95</v>
      </c>
      <c r="F52">
        <f>IF(B51=B52, IFERROR((E52-E51)/ABS(E51), "n/a"), "")</f>
        <v/>
      </c>
      <c r="G52" t="n">
        <v>4181.8999</v>
      </c>
    </row>
    <row r="53">
      <c r="A53" t="inlineStr">
        <is>
          <t>2026-09-30</t>
        </is>
      </c>
      <c r="B53" t="inlineStr">
        <is>
          <t>Gold</t>
        </is>
      </c>
      <c r="C53" t="n">
        <v>118</v>
      </c>
      <c r="D53" t="n">
        <v>120</v>
      </c>
      <c r="E53" t="n">
        <v>-1.407</v>
      </c>
      <c r="F53">
        <f>IF(B52=B53, IFERROR((E53-E52)/ABS(E52), "n/a"), "")</f>
        <v/>
      </c>
      <c r="G53" t="n">
        <v>4199.1667</v>
      </c>
    </row>
    <row r="54">
      <c r="A54" t="inlineStr">
        <is>
          <t>2026-10-01</t>
        </is>
      </c>
      <c r="B54" t="inlineStr">
        <is>
          <t>Gold</t>
        </is>
      </c>
      <c r="C54" t="n">
        <v>118</v>
      </c>
      <c r="D54" t="n">
        <v>120</v>
      </c>
      <c r="E54" t="n">
        <v>-2.252</v>
      </c>
      <c r="F54">
        <f>IF(B53=B54, IFERROR((E54-E53)/ABS(E53), "n/a"), "")</f>
        <v/>
      </c>
      <c r="G54" t="n">
        <v>4197</v>
      </c>
    </row>
    <row r="55">
      <c r="A55" t="inlineStr">
        <is>
          <t>2026-10-02</t>
        </is>
      </c>
      <c r="B55" t="inlineStr">
        <is>
          <t>Gold</t>
        </is>
      </c>
      <c r="C55" t="n">
        <v>118</v>
      </c>
      <c r="D55" t="n">
        <v>120</v>
      </c>
      <c r="E55" t="n">
        <v>-1.761</v>
      </c>
      <c r="F55">
        <f>IF(B54=B55, IFERROR((E55-E54)/ABS(E54), "n/a"), "")</f>
        <v/>
      </c>
      <c r="G55" t="n">
        <v>4200.6667</v>
      </c>
    </row>
    <row r="56">
      <c r="A56" t="inlineStr">
        <is>
          <t>2026-10-03</t>
        </is>
      </c>
      <c r="B56" t="inlineStr">
        <is>
          <t>Gold</t>
        </is>
      </c>
      <c r="C56" t="n">
        <v>156</v>
      </c>
      <c r="D56" t="n">
        <v>160</v>
      </c>
      <c r="E56" t="n">
        <v>0.602</v>
      </c>
      <c r="F56">
        <f>IF(B55=B56, IFERROR((E56-E55)/ABS(E55), "n/a"), "")</f>
        <v/>
      </c>
      <c r="G56" t="n">
        <v>4164.7499</v>
      </c>
    </row>
    <row r="57">
      <c r="A57" t="inlineStr">
        <is>
          <t>2026-10-04</t>
        </is>
      </c>
      <c r="B57" t="inlineStr">
        <is>
          <t>Gold</t>
        </is>
      </c>
      <c r="C57" t="n">
        <v>157</v>
      </c>
      <c r="D57" t="n">
        <v>160</v>
      </c>
      <c r="E57" t="n">
        <v>2.126</v>
      </c>
      <c r="F57">
        <f>IF(B56=B57, IFERROR((E57-E56)/ABS(E56), "n/a"), "")</f>
        <v/>
      </c>
      <c r="G57" t="n">
        <v>4164.4248</v>
      </c>
    </row>
    <row r="58">
      <c r="A58" t="inlineStr">
        <is>
          <t>2026-10-05</t>
        </is>
      </c>
      <c r="B58" t="inlineStr">
        <is>
          <t>Gold</t>
        </is>
      </c>
      <c r="C58" t="n">
        <v>78</v>
      </c>
      <c r="D58" t="n">
        <v>80</v>
      </c>
      <c r="E58" t="n">
        <v>1.296</v>
      </c>
      <c r="F58">
        <f>IF(B57=B58, IFERROR((E58-E57)/ABS(E57), "n/a"), "")</f>
        <v/>
      </c>
      <c r="G58" t="n">
        <v>4158.9001</v>
      </c>
    </row>
    <row r="59">
      <c r="A59" t="inlineStr">
        <is>
          <t>2026-10-06</t>
        </is>
      </c>
      <c r="B59" t="inlineStr">
        <is>
          <t>Gold</t>
        </is>
      </c>
      <c r="C59" t="n">
        <v>159</v>
      </c>
      <c r="D59" t="n">
        <v>160</v>
      </c>
      <c r="E59" t="n">
        <v>3.093</v>
      </c>
      <c r="F59">
        <f>IF(B58=B59, IFERROR((E59-E58)/ABS(E58), "n/a"), "")</f>
        <v/>
      </c>
      <c r="G59" t="n">
        <v>4188.65</v>
      </c>
    </row>
    <row r="60">
      <c r="A60" t="inlineStr">
        <is>
          <t>2026-10-07</t>
        </is>
      </c>
      <c r="B60" t="inlineStr">
        <is>
          <t>Gold</t>
        </is>
      </c>
      <c r="C60" t="n">
        <v>80</v>
      </c>
      <c r="D60" t="n">
        <v>80</v>
      </c>
      <c r="E60" t="n">
        <v>7.024</v>
      </c>
      <c r="F60">
        <f>IF(B59=B60, IFERROR((E60-E59)/ABS(E59), "n/a"), "")</f>
        <v/>
      </c>
      <c r="G60" t="n">
        <v>4149.1499</v>
      </c>
    </row>
    <row r="61">
      <c r="A61" t="inlineStr">
        <is>
          <t>2026-10-08</t>
        </is>
      </c>
      <c r="B61" t="inlineStr">
        <is>
          <t>Gold</t>
        </is>
      </c>
      <c r="C61" t="n">
        <v>120</v>
      </c>
      <c r="D61" t="n">
        <v>120</v>
      </c>
      <c r="E61" t="n">
        <v>4.406</v>
      </c>
      <c r="F61">
        <f>IF(B60=B61, IFERROR((E61-E60)/ABS(E60), "n/a"), "")</f>
        <v/>
      </c>
      <c r="G61" t="n">
        <v>4153.2</v>
      </c>
    </row>
    <row r="62">
      <c r="A62" t="inlineStr">
        <is>
          <t>2026-10-09</t>
        </is>
      </c>
      <c r="B62" t="inlineStr">
        <is>
          <t>Gold</t>
        </is>
      </c>
      <c r="C62" t="n">
        <v>120</v>
      </c>
      <c r="D62" t="n">
        <v>120</v>
      </c>
      <c r="E62" t="n">
        <v>3.455</v>
      </c>
      <c r="F62">
        <f>IF(B61=B62, IFERROR((E62-E61)/ABS(E61), "n/a"), "")</f>
        <v/>
      </c>
      <c r="G62" t="n">
        <v>4210.3999</v>
      </c>
    </row>
    <row r="63">
      <c r="A63" t="inlineStr">
        <is>
          <t>2026-10-10</t>
        </is>
      </c>
      <c r="B63" t="inlineStr">
        <is>
          <t>Gold</t>
        </is>
      </c>
      <c r="C63" t="n">
        <v>160</v>
      </c>
      <c r="D63" t="n">
        <v>160</v>
      </c>
      <c r="E63" t="n">
        <v>4.276</v>
      </c>
      <c r="F63">
        <f>IF(B62=B63, IFERROR((E63-E62)/ABS(E62), "n/a"), "")</f>
        <v/>
      </c>
      <c r="G63" t="n">
        <v>4217.2998</v>
      </c>
    </row>
    <row r="64">
      <c r="A64" t="inlineStr">
        <is>
          <t>2026-10-11</t>
        </is>
      </c>
      <c r="B64" t="inlineStr">
        <is>
          <t>Gold</t>
        </is>
      </c>
      <c r="C64" t="n">
        <v>160</v>
      </c>
      <c r="D64" t="n">
        <v>160</v>
      </c>
      <c r="E64" t="n">
        <v>3.786</v>
      </c>
      <c r="F64">
        <f>IF(B63=B64, IFERROR((E64-E63)/ABS(E63), "n/a"), "")</f>
        <v/>
      </c>
      <c r="G64" t="n">
        <v>4233.7248</v>
      </c>
    </row>
    <row r="65">
      <c r="A65" t="inlineStr">
        <is>
          <t>2026-10-12</t>
        </is>
      </c>
      <c r="B65" t="inlineStr">
        <is>
          <t>Gold</t>
        </is>
      </c>
      <c r="C65" t="n">
        <v>80</v>
      </c>
      <c r="D65" t="n">
        <v>80</v>
      </c>
      <c r="E65" t="n">
        <v>2.987</v>
      </c>
      <c r="F65">
        <f>IF(B64=B65, IFERROR((E65-E64)/ABS(E64), "n/a"), "")</f>
        <v/>
      </c>
      <c r="G65" t="n">
        <v>4206.25</v>
      </c>
    </row>
    <row r="66">
      <c r="A66" t="inlineStr">
        <is>
          <t>2026-10-13</t>
        </is>
      </c>
      <c r="B66" t="inlineStr">
        <is>
          <t>Gold</t>
        </is>
      </c>
      <c r="C66" t="n">
        <v>160</v>
      </c>
      <c r="D66" t="n">
        <v>160</v>
      </c>
      <c r="E66" t="n">
        <v>3.275</v>
      </c>
      <c r="F66">
        <f>IF(B65=B66, IFERROR((E66-E65)/ABS(E65), "n/a"), "")</f>
        <v/>
      </c>
      <c r="G66" t="n">
        <v>4188.2001</v>
      </c>
    </row>
    <row r="67">
      <c r="A67" t="inlineStr">
        <is>
          <t>2026-10-14</t>
        </is>
      </c>
      <c r="B67" t="inlineStr">
        <is>
          <t>Gold</t>
        </is>
      </c>
      <c r="C67" t="n">
        <v>160</v>
      </c>
      <c r="D67" t="n">
        <v>160</v>
      </c>
      <c r="E67" t="n">
        <v>3.842</v>
      </c>
      <c r="F67">
        <f>IF(B66=B67, IFERROR((E67-E66)/ABS(E66), "n/a"), "")</f>
        <v/>
      </c>
      <c r="G67" t="n">
        <v>4145.5499</v>
      </c>
    </row>
    <row r="68">
      <c r="A68" t="inlineStr">
        <is>
          <t>2026-10-15</t>
        </is>
      </c>
      <c r="B68" t="inlineStr">
        <is>
          <t>Gold</t>
        </is>
      </c>
      <c r="C68" t="n">
        <v>159</v>
      </c>
      <c r="D68" t="n">
        <v>160</v>
      </c>
      <c r="E68" t="n">
        <v>1.63</v>
      </c>
      <c r="F68">
        <f>IF(B67=B68, IFERROR((E68-E67)/ABS(E67), "n/a"), "")</f>
        <v/>
      </c>
      <c r="G68" t="n">
        <v>4174.7001</v>
      </c>
    </row>
    <row r="69">
      <c r="A69" t="inlineStr">
        <is>
          <t>2026-10-16</t>
        </is>
      </c>
      <c r="B69" t="inlineStr">
        <is>
          <t>Gold</t>
        </is>
      </c>
      <c r="C69" t="n">
        <v>158</v>
      </c>
      <c r="D69" t="n">
        <v>160</v>
      </c>
      <c r="E69" t="n">
        <v>2.479</v>
      </c>
      <c r="F69">
        <f>IF(B68=B69, IFERROR((E69-E68)/ABS(E68), "n/a"), "")</f>
        <v/>
      </c>
      <c r="G69" t="n">
        <v>4192.775</v>
      </c>
    </row>
    <row r="70">
      <c r="A70" t="inlineStr">
        <is>
          <t>2026-10-17</t>
        </is>
      </c>
      <c r="B70" t="inlineStr">
        <is>
          <t>Gold</t>
        </is>
      </c>
      <c r="C70" t="n">
        <v>195</v>
      </c>
      <c r="D70" t="n">
        <v>200</v>
      </c>
      <c r="E70" t="n">
        <v>6.267</v>
      </c>
      <c r="F70">
        <f>IF(B69=B70, IFERROR((E70-E69)/ABS(E69), "n/a"), "")</f>
        <v/>
      </c>
      <c r="G70" t="n">
        <v>4185.5802</v>
      </c>
    </row>
    <row r="71">
      <c r="A71" t="inlineStr">
        <is>
          <t>2026-10-18</t>
        </is>
      </c>
      <c r="B71" t="inlineStr">
        <is>
          <t>Gold</t>
        </is>
      </c>
      <c r="C71" t="n">
        <v>195</v>
      </c>
      <c r="D71" t="n">
        <v>200</v>
      </c>
      <c r="E71" t="n">
        <v>6.259</v>
      </c>
      <c r="F71">
        <f>IF(B70=B71, IFERROR((E71-E70)/ABS(E70), "n/a"), "")</f>
        <v/>
      </c>
      <c r="G71" t="n">
        <v>4194.9001</v>
      </c>
    </row>
    <row r="72">
      <c r="A72" t="inlineStr">
        <is>
          <t>2026-09-14</t>
        </is>
      </c>
      <c r="B72" t="inlineStr">
        <is>
          <t>Nasdaq</t>
        </is>
      </c>
      <c r="C72" t="n">
        <v>240</v>
      </c>
      <c r="D72" t="n">
        <v>212</v>
      </c>
      <c r="E72" t="n">
        <v>5.507</v>
      </c>
      <c r="F72">
        <f>IF(B71=B72, IFERROR((E72-E71)/ABS(E71), "n/a"), "")</f>
        <v/>
      </c>
      <c r="G72" t="n">
        <v>29143.15</v>
      </c>
    </row>
    <row r="73">
      <c r="A73" t="inlineStr">
        <is>
          <t>2026-09-15</t>
        </is>
      </c>
      <c r="B73" t="inlineStr">
        <is>
          <t>Nasdaq</t>
        </is>
      </c>
      <c r="C73" t="n">
        <v>159</v>
      </c>
      <c r="D73" t="n">
        <v>140</v>
      </c>
      <c r="E73" t="n">
        <v>1.638</v>
      </c>
      <c r="F73">
        <f>IF(B72=B73, IFERROR((E73-E72)/ABS(E72), "n/a"), "")</f>
        <v/>
      </c>
      <c r="G73" t="n">
        <v>29317.0625</v>
      </c>
    </row>
    <row r="74">
      <c r="A74" t="inlineStr">
        <is>
          <t>2026-09-16</t>
        </is>
      </c>
      <c r="B74" t="inlineStr">
        <is>
          <t>Nasdaq</t>
        </is>
      </c>
      <c r="C74" t="n">
        <v>160</v>
      </c>
      <c r="D74" t="n">
        <v>142</v>
      </c>
      <c r="E74" t="n">
        <v>1.225</v>
      </c>
      <c r="F74">
        <f>IF(B73=B74, IFERROR((E74-E73)/ABS(E73), "n/a"), "")</f>
        <v/>
      </c>
      <c r="G74" t="n">
        <v>29371.8125</v>
      </c>
    </row>
    <row r="75">
      <c r="A75" t="inlineStr">
        <is>
          <t>2026-09-17</t>
        </is>
      </c>
      <c r="B75" t="inlineStr">
        <is>
          <t>Nasdaq</t>
        </is>
      </c>
      <c r="C75" t="n">
        <v>158</v>
      </c>
      <c r="D75" t="n">
        <v>147</v>
      </c>
      <c r="E75" t="n">
        <v>-1.626</v>
      </c>
      <c r="F75">
        <f>IF(B74=B75, IFERROR((E75-E74)/ABS(E74), "n/a"), "")</f>
        <v/>
      </c>
      <c r="G75" t="n">
        <v>29614.1875</v>
      </c>
    </row>
    <row r="76">
      <c r="A76" t="inlineStr">
        <is>
          <t>2026-09-18</t>
        </is>
      </c>
      <c r="B76" t="inlineStr">
        <is>
          <t>Nasdaq</t>
        </is>
      </c>
      <c r="C76" t="n">
        <v>151</v>
      </c>
      <c r="D76" t="n">
        <v>151</v>
      </c>
      <c r="E76" t="n">
        <v>-2.282</v>
      </c>
      <c r="F76">
        <f>IF(B75=B76, IFERROR((E76-E75)/ABS(E75), "n/a"), "")</f>
        <v/>
      </c>
      <c r="G76" t="n">
        <v>29828.95</v>
      </c>
    </row>
    <row r="77">
      <c r="A77" t="inlineStr">
        <is>
          <t>2026-09-19</t>
        </is>
      </c>
      <c r="B77" t="inlineStr">
        <is>
          <t>Nasdaq</t>
        </is>
      </c>
      <c r="C77" t="n">
        <v>198</v>
      </c>
      <c r="D77" t="n">
        <v>186</v>
      </c>
      <c r="E77" t="n">
        <v>-2.938</v>
      </c>
      <c r="F77">
        <f>IF(B76=B77, IFERROR((E77-E76)/ABS(E76), "n/a"), "")</f>
        <v/>
      </c>
      <c r="G77" t="n">
        <v>29917.25</v>
      </c>
    </row>
    <row r="78">
      <c r="A78" t="inlineStr">
        <is>
          <t>2026-09-20</t>
        </is>
      </c>
      <c r="B78" t="inlineStr">
        <is>
          <t>Nasdaq</t>
        </is>
      </c>
      <c r="C78" t="n">
        <v>200</v>
      </c>
      <c r="D78" t="n">
        <v>191</v>
      </c>
      <c r="E78" t="n">
        <v>0.022</v>
      </c>
      <c r="F78">
        <f>IF(B77=B78, IFERROR((E78-E77)/ABS(E77), "n/a"), "")</f>
        <v/>
      </c>
      <c r="G78" t="n">
        <v>29917.25</v>
      </c>
    </row>
    <row r="79">
      <c r="A79" t="inlineStr">
        <is>
          <t>2026-09-21</t>
        </is>
      </c>
      <c r="B79" t="inlineStr">
        <is>
          <t>Nasdaq</t>
        </is>
      </c>
      <c r="C79" t="n">
        <v>150</v>
      </c>
      <c r="D79" t="n">
        <v>157</v>
      </c>
      <c r="E79" t="n">
        <v>-3.179</v>
      </c>
      <c r="F79">
        <f>IF(B78=B79, IFERROR((E79-E78)/ABS(E78), "n/a"), "")</f>
        <v/>
      </c>
      <c r="G79" t="n">
        <v>30469.875</v>
      </c>
    </row>
    <row r="80">
      <c r="A80" t="inlineStr">
        <is>
          <t>2026-09-22</t>
        </is>
      </c>
      <c r="B80" t="inlineStr">
        <is>
          <t>Nasdaq</t>
        </is>
      </c>
      <c r="C80" t="n">
        <v>137</v>
      </c>
      <c r="D80" t="n">
        <v>155</v>
      </c>
      <c r="E80" t="n">
        <v>-7.568</v>
      </c>
      <c r="F80">
        <f>IF(B79=B80, IFERROR((E80-E79)/ABS(E79), "n/a"), "")</f>
        <v/>
      </c>
      <c r="G80" t="n">
        <v>30911.625</v>
      </c>
    </row>
    <row r="81">
      <c r="A81" t="inlineStr">
        <is>
          <t>2026-09-23</t>
        </is>
      </c>
      <c r="B81" t="inlineStr">
        <is>
          <t>Nasdaq</t>
        </is>
      </c>
      <c r="C81" t="n">
        <v>140</v>
      </c>
      <c r="D81" t="n">
        <v>150</v>
      </c>
      <c r="E81" t="n">
        <v>-2.077</v>
      </c>
      <c r="F81">
        <f>IF(B80=B81, IFERROR((E81-E80)/ABS(E80), "n/a"), "")</f>
        <v/>
      </c>
      <c r="G81" t="n">
        <v>30888.875</v>
      </c>
    </row>
    <row r="82">
      <c r="A82" t="inlineStr">
        <is>
          <t>2026-09-24</t>
        </is>
      </c>
      <c r="B82" t="inlineStr">
        <is>
          <t>Nasdaq</t>
        </is>
      </c>
      <c r="C82" t="n">
        <v>141</v>
      </c>
      <c r="D82" t="n">
        <v>134</v>
      </c>
      <c r="E82" t="n">
        <v>-0.161</v>
      </c>
      <c r="F82">
        <f>IF(B81=B82, IFERROR((E82-E81)/ABS(E81), "n/a"), "")</f>
        <v/>
      </c>
      <c r="G82" t="n">
        <v>30631.875</v>
      </c>
    </row>
    <row r="83">
      <c r="A83" t="inlineStr">
        <is>
          <t>2026-09-25</t>
        </is>
      </c>
      <c r="B83" t="inlineStr">
        <is>
          <t>Nasdaq</t>
        </is>
      </c>
      <c r="C83" t="n">
        <v>174</v>
      </c>
      <c r="D83" t="n">
        <v>170</v>
      </c>
      <c r="E83" t="n">
        <v>0.508</v>
      </c>
      <c r="F83">
        <f>IF(B82=B83, IFERROR((E83-E82)/ABS(E82), "n/a"), "")</f>
        <v/>
      </c>
      <c r="G83" t="n">
        <v>30901.75</v>
      </c>
    </row>
    <row r="84">
      <c r="A84" t="inlineStr">
        <is>
          <t>2026-09-26</t>
        </is>
      </c>
      <c r="B84" t="inlineStr">
        <is>
          <t>Nasdaq</t>
        </is>
      </c>
      <c r="C84" t="n">
        <v>174</v>
      </c>
      <c r="D84" t="n">
        <v>169</v>
      </c>
      <c r="E84" t="n">
        <v>2.636</v>
      </c>
      <c r="F84">
        <f>IF(B83=B84, IFERROR((E84-E83)/ABS(E83), "n/a"), "")</f>
        <v/>
      </c>
      <c r="G84" t="n">
        <v>30895.75</v>
      </c>
    </row>
    <row r="85">
      <c r="A85" t="inlineStr">
        <is>
          <t>2026-09-27</t>
        </is>
      </c>
      <c r="B85" t="inlineStr">
        <is>
          <t>Nasdaq</t>
        </is>
      </c>
      <c r="C85" t="n">
        <v>139</v>
      </c>
      <c r="D85" t="n">
        <v>136</v>
      </c>
      <c r="E85" t="n">
        <v>2.269</v>
      </c>
      <c r="F85">
        <f>IF(B84=B85, IFERROR((E85-E84)/ABS(E84), "n/a"), "")</f>
        <v/>
      </c>
      <c r="G85" t="n">
        <v>30868.5625</v>
      </c>
    </row>
    <row r="86">
      <c r="A86" t="inlineStr">
        <is>
          <t>2026-09-28</t>
        </is>
      </c>
      <c r="B86" t="inlineStr">
        <is>
          <t>Nasdaq</t>
        </is>
      </c>
      <c r="C86" t="n">
        <v>70</v>
      </c>
      <c r="D86" t="n">
        <v>72</v>
      </c>
      <c r="E86" t="n">
        <v>4.107</v>
      </c>
      <c r="F86">
        <f>IF(B85=B86, IFERROR((E86-E85)/ABS(E85), "n/a"), "")</f>
        <v/>
      </c>
      <c r="G86" t="n">
        <v>30639.25</v>
      </c>
    </row>
    <row r="87">
      <c r="A87" t="inlineStr">
        <is>
          <t>2026-09-29</t>
        </is>
      </c>
      <c r="B87" t="inlineStr">
        <is>
          <t>Nasdaq</t>
        </is>
      </c>
      <c r="C87" t="n">
        <v>144</v>
      </c>
      <c r="D87" t="n">
        <v>151</v>
      </c>
      <c r="E87" t="n">
        <v>7.112</v>
      </c>
      <c r="F87">
        <f>IF(B86=B87, IFERROR((E87-E86)/ABS(E86), "n/a"), "")</f>
        <v/>
      </c>
      <c r="G87" t="n">
        <v>30602.1875</v>
      </c>
    </row>
    <row r="88">
      <c r="A88" t="inlineStr">
        <is>
          <t>2026-09-30</t>
        </is>
      </c>
      <c r="B88" t="inlineStr">
        <is>
          <t>Nasdaq</t>
        </is>
      </c>
      <c r="C88" t="n">
        <v>111</v>
      </c>
      <c r="D88" t="n">
        <v>112</v>
      </c>
      <c r="E88" t="n">
        <v>6.872</v>
      </c>
      <c r="F88">
        <f>IF(B87=B88, IFERROR((E88-E87)/ABS(E87), "n/a"), "")</f>
        <v/>
      </c>
      <c r="G88" t="n">
        <v>30727.4167</v>
      </c>
    </row>
    <row r="89">
      <c r="A89" t="inlineStr">
        <is>
          <t>2026-10-01</t>
        </is>
      </c>
      <c r="B89" t="inlineStr">
        <is>
          <t>Nasdaq</t>
        </is>
      </c>
      <c r="C89" t="n">
        <v>116</v>
      </c>
      <c r="D89" t="n">
        <v>112</v>
      </c>
      <c r="E89" t="n">
        <v>6.224</v>
      </c>
      <c r="F89">
        <f>IF(B88=B89, IFERROR((E89-E88)/ABS(E88), "n/a"), "")</f>
        <v/>
      </c>
      <c r="G89" t="n">
        <v>30770.9167</v>
      </c>
    </row>
    <row r="90">
      <c r="A90" t="inlineStr">
        <is>
          <t>2026-10-02</t>
        </is>
      </c>
      <c r="B90" t="inlineStr">
        <is>
          <t>Nasdaq</t>
        </is>
      </c>
      <c r="C90" t="n">
        <v>114</v>
      </c>
      <c r="D90" t="n">
        <v>114</v>
      </c>
      <c r="E90" t="n">
        <v>1.95</v>
      </c>
      <c r="F90">
        <f>IF(B89=B90, IFERROR((E90-E89)/ABS(E89), "n/a"), "")</f>
        <v/>
      </c>
      <c r="G90" t="n">
        <v>31080.1667</v>
      </c>
    </row>
    <row r="91">
      <c r="A91" t="inlineStr">
        <is>
          <t>2026-10-03</t>
        </is>
      </c>
      <c r="B91" t="inlineStr">
        <is>
          <t>Nasdaq</t>
        </is>
      </c>
      <c r="C91" t="n">
        <v>157</v>
      </c>
      <c r="D91" t="n">
        <v>151</v>
      </c>
      <c r="E91" t="n">
        <v>2.666</v>
      </c>
      <c r="F91">
        <f>IF(B90=B91, IFERROR((E91-E90)/ABS(E90), "n/a"), "")</f>
        <v/>
      </c>
      <c r="G91" t="n">
        <v>31058.5625</v>
      </c>
    </row>
    <row r="92">
      <c r="A92" t="inlineStr">
        <is>
          <t>2026-10-04</t>
        </is>
      </c>
      <c r="B92" t="inlineStr">
        <is>
          <t>Nasdaq</t>
        </is>
      </c>
      <c r="C92" t="n">
        <v>159</v>
      </c>
      <c r="D92" t="n">
        <v>153</v>
      </c>
      <c r="E92" t="n">
        <v>3.19</v>
      </c>
      <c r="F92">
        <f>IF(B91=B92, IFERROR((E92-E91)/ABS(E91), "n/a"), "")</f>
        <v/>
      </c>
      <c r="G92" t="n">
        <v>31086.25</v>
      </c>
    </row>
    <row r="93">
      <c r="A93" t="inlineStr">
        <is>
          <t>2026-10-05</t>
        </is>
      </c>
      <c r="B93" t="inlineStr">
        <is>
          <t>Nasdaq</t>
        </is>
      </c>
      <c r="C93" t="n">
        <v>80</v>
      </c>
      <c r="D93" t="n">
        <v>76</v>
      </c>
      <c r="E93" t="n">
        <v>2.624</v>
      </c>
      <c r="F93">
        <f>IF(B92=B93, IFERROR((E93-E92)/ABS(E92), "n/a"), "")</f>
        <v/>
      </c>
      <c r="G93" t="n">
        <v>31170.25</v>
      </c>
    </row>
    <row r="94">
      <c r="A94" t="inlineStr">
        <is>
          <t>2026-10-06</t>
        </is>
      </c>
      <c r="B94" t="inlineStr">
        <is>
          <t>Nasdaq</t>
        </is>
      </c>
      <c r="C94" t="n">
        <v>152</v>
      </c>
      <c r="D94" t="n">
        <v>155</v>
      </c>
      <c r="E94" t="n">
        <v>-4.017</v>
      </c>
      <c r="F94">
        <f>IF(B93=B94, IFERROR((E94-E93)/ABS(E93), "n/a"), "")</f>
        <v/>
      </c>
      <c r="G94" t="n">
        <v>31468.375</v>
      </c>
    </row>
    <row r="95">
      <c r="A95" t="inlineStr">
        <is>
          <t>2026-10-07</t>
        </is>
      </c>
      <c r="B95" t="inlineStr">
        <is>
          <t>Nasdaq</t>
        </is>
      </c>
      <c r="C95" t="n">
        <v>73</v>
      </c>
      <c r="D95" t="n">
        <v>75</v>
      </c>
      <c r="E95" t="n">
        <v>0.298</v>
      </c>
      <c r="F95">
        <f>IF(B94=B95, IFERROR((E95-E94)/ABS(E94), "n/a"), "")</f>
        <v/>
      </c>
      <c r="G95" t="n">
        <v>31438.25</v>
      </c>
    </row>
    <row r="96">
      <c r="A96" t="inlineStr">
        <is>
          <t>2026-10-08</t>
        </is>
      </c>
      <c r="B96" t="inlineStr">
        <is>
          <t>Nasdaq</t>
        </is>
      </c>
      <c r="C96" t="n">
        <v>113</v>
      </c>
      <c r="D96" t="n">
        <v>112</v>
      </c>
      <c r="E96" t="n">
        <v>-0.006</v>
      </c>
      <c r="F96">
        <f>IF(B95=B96, IFERROR((E96-E95)/ABS(E95), "n/a"), "")</f>
        <v/>
      </c>
      <c r="G96" t="n">
        <v>31216.3333</v>
      </c>
    </row>
    <row r="97">
      <c r="A97" t="inlineStr">
        <is>
          <t>2026-10-09</t>
        </is>
      </c>
      <c r="B97" t="inlineStr">
        <is>
          <t>Nasdaq</t>
        </is>
      </c>
      <c r="C97" t="n">
        <v>107</v>
      </c>
      <c r="D97" t="n">
        <v>109</v>
      </c>
      <c r="E97" t="n">
        <v>0.646</v>
      </c>
      <c r="F97">
        <f>IF(B96=B97, IFERROR((E97-E96)/ABS(E96), "n/a"), "")</f>
        <v/>
      </c>
      <c r="G97" t="n">
        <v>31099.75</v>
      </c>
    </row>
    <row r="98">
      <c r="A98" t="inlineStr">
        <is>
          <t>2026-10-10</t>
        </is>
      </c>
      <c r="B98" t="inlineStr">
        <is>
          <t>Nasdaq</t>
        </is>
      </c>
      <c r="C98" t="n">
        <v>148</v>
      </c>
      <c r="D98" t="n">
        <v>144</v>
      </c>
      <c r="E98" t="n">
        <v>3.202</v>
      </c>
      <c r="F98">
        <f>IF(B97=B98, IFERROR((E98-E97)/ABS(E97), "n/a"), "")</f>
        <v/>
      </c>
      <c r="G98" t="n">
        <v>31112.375</v>
      </c>
    </row>
    <row r="99">
      <c r="A99" t="inlineStr">
        <is>
          <t>2026-10-11</t>
        </is>
      </c>
      <c r="B99" t="inlineStr">
        <is>
          <t>Nasdaq</t>
        </is>
      </c>
      <c r="C99" t="n">
        <v>146</v>
      </c>
      <c r="D99" t="n">
        <v>145</v>
      </c>
      <c r="E99" t="n">
        <v>-0.516</v>
      </c>
      <c r="F99">
        <f>IF(B98=B99, IFERROR((E99-E98)/ABS(E98), "n/a"), "")</f>
        <v/>
      </c>
      <c r="G99" t="n">
        <v>31141.0625</v>
      </c>
    </row>
    <row r="100">
      <c r="A100" t="inlineStr">
        <is>
          <t>2026-10-12</t>
        </is>
      </c>
      <c r="B100" t="inlineStr">
        <is>
          <t>Nasdaq</t>
        </is>
      </c>
      <c r="C100" t="n">
        <v>74</v>
      </c>
      <c r="D100" t="n">
        <v>72</v>
      </c>
      <c r="E100" t="n">
        <v>1.744</v>
      </c>
      <c r="F100">
        <f>IF(B99=B100, IFERROR((E100-E99)/ABS(E99), "n/a"), "")</f>
        <v/>
      </c>
      <c r="G100" t="n">
        <v>31071.125</v>
      </c>
    </row>
    <row r="101">
      <c r="A101" t="inlineStr">
        <is>
          <t>2026-10-13</t>
        </is>
      </c>
      <c r="B101" t="inlineStr">
        <is>
          <t>Nasdaq</t>
        </is>
      </c>
      <c r="C101" t="n">
        <v>149</v>
      </c>
      <c r="D101" t="n">
        <v>147</v>
      </c>
      <c r="E101" t="n">
        <v>5.682</v>
      </c>
      <c r="F101">
        <f>IF(B100=B101, IFERROR((E101-E100)/ABS(E100), "n/a"), "")</f>
        <v/>
      </c>
      <c r="G101" t="n">
        <v>30713.8125</v>
      </c>
    </row>
    <row r="102">
      <c r="A102" t="inlineStr">
        <is>
          <t>2026-10-14</t>
        </is>
      </c>
      <c r="B102" t="inlineStr">
        <is>
          <t>Nasdaq</t>
        </is>
      </c>
      <c r="C102" t="n">
        <v>147</v>
      </c>
      <c r="D102" t="n">
        <v>150</v>
      </c>
      <c r="E102" t="n">
        <v>6.271</v>
      </c>
      <c r="F102">
        <f>IF(B101=B102, IFERROR((E102-E101)/ABS(E101), "n/a"), "")</f>
        <v/>
      </c>
      <c r="G102" t="n">
        <v>30480.0625</v>
      </c>
    </row>
    <row r="103">
      <c r="A103" t="inlineStr">
        <is>
          <t>2026-10-15</t>
        </is>
      </c>
      <c r="B103" t="inlineStr">
        <is>
          <t>Nasdaq</t>
        </is>
      </c>
      <c r="C103" t="n">
        <v>148</v>
      </c>
      <c r="D103" t="n">
        <v>147</v>
      </c>
      <c r="E103" t="n">
        <v>4.488</v>
      </c>
      <c r="F103">
        <f>IF(B102=B103, IFERROR((E103-E102)/ABS(E102), "n/a"), "")</f>
        <v/>
      </c>
      <c r="G103" t="n">
        <v>29927.375</v>
      </c>
    </row>
    <row r="104">
      <c r="A104" t="inlineStr">
        <is>
          <t>2026-10-16</t>
        </is>
      </c>
      <c r="B104" t="inlineStr">
        <is>
          <t>Nasdaq</t>
        </is>
      </c>
      <c r="C104" t="n">
        <v>149</v>
      </c>
      <c r="D104" t="n">
        <v>144</v>
      </c>
      <c r="E104" t="n">
        <v>2.898</v>
      </c>
      <c r="F104">
        <f>IF(B103=B104, IFERROR((E104-E103)/ABS(E103), "n/a"), "")</f>
        <v/>
      </c>
      <c r="G104" t="n">
        <v>29828.5</v>
      </c>
    </row>
    <row r="105">
      <c r="A105" t="inlineStr">
        <is>
          <t>2026-10-17</t>
        </is>
      </c>
      <c r="B105" t="inlineStr">
        <is>
          <t>Nasdaq</t>
        </is>
      </c>
      <c r="C105" t="n">
        <v>190</v>
      </c>
      <c r="D105" t="n">
        <v>171</v>
      </c>
      <c r="E105" t="n">
        <v>5.144</v>
      </c>
      <c r="F105">
        <f>IF(B104=B105, IFERROR((E105-E104)/ABS(E104), "n/a"), "")</f>
        <v/>
      </c>
      <c r="G105" t="n">
        <v>29391.4</v>
      </c>
    </row>
    <row r="106">
      <c r="A106" t="inlineStr">
        <is>
          <t>2026-10-18</t>
        </is>
      </c>
      <c r="B106" t="inlineStr">
        <is>
          <t>Nasdaq</t>
        </is>
      </c>
      <c r="C106" t="n">
        <v>185</v>
      </c>
      <c r="D106" t="n">
        <v>158</v>
      </c>
      <c r="E106" t="n">
        <v>5.225</v>
      </c>
      <c r="F106">
        <f>IF(B105=B106, IFERROR((E106-E105)/ABS(E105), "n/a"), "")</f>
        <v/>
      </c>
      <c r="G106" t="n">
        <v>29391.5</v>
      </c>
    </row>
    <row r="107">
      <c r="A107" t="inlineStr">
        <is>
          <t>2026-09-14</t>
        </is>
      </c>
      <c r="B107" t="inlineStr">
        <is>
          <t>Oil</t>
        </is>
      </c>
      <c r="C107" t="n">
        <v>240</v>
      </c>
      <c r="D107" t="n">
        <v>240</v>
      </c>
      <c r="E107" t="n">
        <v>3.844</v>
      </c>
      <c r="F107">
        <f>IF(B106=B107, IFERROR((E107-E106)/ABS(E106), "n/a"), "")</f>
        <v/>
      </c>
      <c r="G107" t="n">
        <v>102.566</v>
      </c>
    </row>
    <row r="108">
      <c r="A108" t="inlineStr">
        <is>
          <t>2026-09-15</t>
        </is>
      </c>
      <c r="B108" t="inlineStr">
        <is>
          <t>Oil</t>
        </is>
      </c>
      <c r="C108" t="n">
        <v>160</v>
      </c>
      <c r="D108" t="n">
        <v>160</v>
      </c>
      <c r="E108" t="n">
        <v>1.426</v>
      </c>
      <c r="F108">
        <f>IF(B107=B108, IFERROR((E108-E107)/ABS(E107), "n/a"), "")</f>
        <v/>
      </c>
      <c r="G108" t="n">
        <v>104.275</v>
      </c>
    </row>
    <row r="109">
      <c r="A109" t="inlineStr">
        <is>
          <t>2026-09-16</t>
        </is>
      </c>
      <c r="B109" t="inlineStr">
        <is>
          <t>Oil</t>
        </is>
      </c>
      <c r="C109" t="n">
        <v>160</v>
      </c>
      <c r="D109" t="n">
        <v>160</v>
      </c>
      <c r="E109" t="n">
        <v>1.484</v>
      </c>
      <c r="F109">
        <f>IF(B108=B109, IFERROR((E109-E108)/ABS(E108), "n/a"), "")</f>
        <v/>
      </c>
      <c r="G109" t="n">
        <v>103.3625</v>
      </c>
    </row>
    <row r="110">
      <c r="A110" t="inlineStr">
        <is>
          <t>2026-09-17</t>
        </is>
      </c>
      <c r="B110" t="inlineStr">
        <is>
          <t>Oil</t>
        </is>
      </c>
      <c r="C110" t="n">
        <v>160</v>
      </c>
      <c r="D110" t="n">
        <v>160</v>
      </c>
      <c r="E110" t="n">
        <v>2.468</v>
      </c>
      <c r="F110">
        <f>IF(B109=B110, IFERROR((E110-E109)/ABS(E109), "n/a"), "")</f>
        <v/>
      </c>
      <c r="G110" t="n">
        <v>101.475</v>
      </c>
    </row>
    <row r="111">
      <c r="A111" t="inlineStr">
        <is>
          <t>2026-09-18</t>
        </is>
      </c>
      <c r="B111" t="inlineStr">
        <is>
          <t>Oil</t>
        </is>
      </c>
      <c r="C111" t="n">
        <v>157</v>
      </c>
      <c r="D111" t="n">
        <v>160</v>
      </c>
      <c r="E111" t="n">
        <v>1.628</v>
      </c>
      <c r="F111">
        <f>IF(B110=B111, IFERROR((E111-E110)/ABS(E110), "n/a"), "")</f>
        <v/>
      </c>
      <c r="G111" t="n">
        <v>96.998</v>
      </c>
    </row>
    <row r="112">
      <c r="A112" t="inlineStr">
        <is>
          <t>2026-09-19</t>
        </is>
      </c>
      <c r="B112" t="inlineStr">
        <is>
          <t>Oil</t>
        </is>
      </c>
      <c r="C112" t="n">
        <v>199</v>
      </c>
      <c r="D112" t="n">
        <v>192</v>
      </c>
      <c r="E112" t="n">
        <v>-0.806</v>
      </c>
      <c r="F112">
        <f>IF(B111=B112, IFERROR((E112-E111)/ABS(E111), "n/a"), "")</f>
        <v/>
      </c>
      <c r="G112" t="n">
        <v>95.958</v>
      </c>
    </row>
    <row r="113">
      <c r="A113" t="inlineStr">
        <is>
          <t>2026-09-20</t>
        </is>
      </c>
      <c r="B113" t="inlineStr">
        <is>
          <t>Oil</t>
        </is>
      </c>
      <c r="C113" t="n">
        <v>200</v>
      </c>
      <c r="D113" t="n">
        <v>200</v>
      </c>
      <c r="E113" t="n">
        <v>-0.925</v>
      </c>
      <c r="F113">
        <f>IF(B112=B113, IFERROR((E113-E112)/ABS(E112), "n/a"), "")</f>
        <v/>
      </c>
      <c r="G113" t="n">
        <v>96.08</v>
      </c>
    </row>
    <row r="114">
      <c r="A114" t="inlineStr">
        <is>
          <t>2026-09-21</t>
        </is>
      </c>
      <c r="B114" t="inlineStr">
        <is>
          <t>Oil</t>
        </is>
      </c>
      <c r="C114" t="n">
        <v>160</v>
      </c>
      <c r="D114" t="n">
        <v>160</v>
      </c>
      <c r="E114" t="n">
        <v>0.485</v>
      </c>
      <c r="F114">
        <f>IF(B113=B114, IFERROR((E114-E113)/ABS(E113), "n/a"), "")</f>
        <v/>
      </c>
      <c r="G114" t="n">
        <v>93.07250000000001</v>
      </c>
    </row>
    <row r="115">
      <c r="A115" t="inlineStr">
        <is>
          <t>2026-09-22</t>
        </is>
      </c>
      <c r="B115" t="inlineStr">
        <is>
          <t>Oil</t>
        </is>
      </c>
      <c r="C115" t="n">
        <v>160</v>
      </c>
      <c r="D115" t="n">
        <v>160</v>
      </c>
      <c r="E115" t="n">
        <v>3.724</v>
      </c>
      <c r="F115">
        <f>IF(B114=B115, IFERROR((E115-E114)/ABS(E114), "n/a"), "")</f>
        <v/>
      </c>
      <c r="G115" t="n">
        <v>91.25749999999999</v>
      </c>
    </row>
    <row r="116">
      <c r="A116" t="inlineStr">
        <is>
          <t>2026-09-23</t>
        </is>
      </c>
      <c r="B116" t="inlineStr">
        <is>
          <t>Oil</t>
        </is>
      </c>
      <c r="C116" t="n">
        <v>160</v>
      </c>
      <c r="D116" t="n">
        <v>160</v>
      </c>
      <c r="E116" t="n">
        <v>1.56</v>
      </c>
      <c r="F116">
        <f>IF(B115=B116, IFERROR((E116-E115)/ABS(E115), "n/a"), "")</f>
        <v/>
      </c>
      <c r="G116" t="n">
        <v>91.13500000000001</v>
      </c>
    </row>
    <row r="117">
      <c r="A117" t="inlineStr">
        <is>
          <t>2026-09-24</t>
        </is>
      </c>
      <c r="B117" t="inlineStr">
        <is>
          <t>Oil</t>
        </is>
      </c>
      <c r="C117" t="n">
        <v>160</v>
      </c>
      <c r="D117" t="n">
        <v>160</v>
      </c>
      <c r="E117" t="n">
        <v>1.612</v>
      </c>
      <c r="F117">
        <f>IF(B116=B117, IFERROR((E117-E116)/ABS(E116), "n/a"), "")</f>
        <v/>
      </c>
      <c r="G117" t="n">
        <v>93.5275</v>
      </c>
    </row>
    <row r="118">
      <c r="A118" t="inlineStr">
        <is>
          <t>2026-09-25</t>
        </is>
      </c>
      <c r="B118" t="inlineStr">
        <is>
          <t>Oil</t>
        </is>
      </c>
      <c r="C118" t="n">
        <v>200</v>
      </c>
      <c r="D118" t="n">
        <v>200</v>
      </c>
      <c r="E118" t="n">
        <v>2.839</v>
      </c>
      <c r="F118">
        <f>IF(B117=B118, IFERROR((E118-E117)/ABS(E117), "n/a"), "")</f>
        <v/>
      </c>
      <c r="G118" t="n">
        <v>92.614</v>
      </c>
    </row>
    <row r="119">
      <c r="A119" t="inlineStr">
        <is>
          <t>2026-09-26</t>
        </is>
      </c>
      <c r="B119" t="inlineStr">
        <is>
          <t>Oil</t>
        </is>
      </c>
      <c r="C119" t="n">
        <v>200</v>
      </c>
      <c r="D119" t="n">
        <v>200</v>
      </c>
      <c r="E119" t="n">
        <v>2.774</v>
      </c>
      <c r="F119">
        <f>IF(B118=B119, IFERROR((E119-E118)/ABS(E118), "n/a"), "")</f>
        <v/>
      </c>
      <c r="G119" t="n">
        <v>92.416</v>
      </c>
    </row>
    <row r="120">
      <c r="A120" t="inlineStr">
        <is>
          <t>2026-09-27</t>
        </is>
      </c>
      <c r="B120" t="inlineStr">
        <is>
          <t>Oil</t>
        </is>
      </c>
      <c r="C120" t="n">
        <v>160</v>
      </c>
      <c r="D120" t="n">
        <v>160</v>
      </c>
      <c r="E120" t="n">
        <v>0.578</v>
      </c>
      <c r="F120">
        <f>IF(B119=B120, IFERROR((E120-E119)/ABS(E119), "n/a"), "")</f>
        <v/>
      </c>
      <c r="G120" t="n">
        <v>92.7</v>
      </c>
    </row>
    <row r="121">
      <c r="A121" t="inlineStr">
        <is>
          <t>2026-09-28</t>
        </is>
      </c>
      <c r="B121" t="inlineStr">
        <is>
          <t>Oil</t>
        </is>
      </c>
      <c r="C121" t="n">
        <v>80</v>
      </c>
      <c r="D121" t="n">
        <v>80</v>
      </c>
      <c r="E121" t="n">
        <v>-0.452</v>
      </c>
      <c r="F121">
        <f>IF(B120=B121, IFERROR((E121-E120)/ABS(E120), "n/a"), "")</f>
        <v/>
      </c>
      <c r="G121" t="n">
        <v>93.16500000000001</v>
      </c>
    </row>
    <row r="122">
      <c r="A122" t="inlineStr">
        <is>
          <t>2026-09-29</t>
        </is>
      </c>
      <c r="B122" t="inlineStr">
        <is>
          <t>Oil</t>
        </is>
      </c>
      <c r="C122" t="n">
        <v>160</v>
      </c>
      <c r="D122" t="n">
        <v>160</v>
      </c>
      <c r="E122" t="n">
        <v>3.116</v>
      </c>
      <c r="F122">
        <f>IF(B121=B122, IFERROR((E122-E121)/ABS(E121), "n/a"), "")</f>
        <v/>
      </c>
      <c r="G122" t="n">
        <v>91.3475</v>
      </c>
    </row>
    <row r="123">
      <c r="A123" t="inlineStr">
        <is>
          <t>2026-09-30</t>
        </is>
      </c>
      <c r="B123" t="inlineStr">
        <is>
          <t>Oil</t>
        </is>
      </c>
      <c r="C123" t="n">
        <v>120</v>
      </c>
      <c r="D123" t="n">
        <v>120</v>
      </c>
      <c r="E123" t="n">
        <v>3.837</v>
      </c>
      <c r="F123">
        <f>IF(B122=B123, IFERROR((E123-E122)/ABS(E122), "n/a"), "")</f>
        <v/>
      </c>
      <c r="G123" t="n">
        <v>90.4667</v>
      </c>
    </row>
    <row r="124">
      <c r="A124" t="inlineStr">
        <is>
          <t>2026-10-01</t>
        </is>
      </c>
      <c r="B124" t="inlineStr">
        <is>
          <t>Oil</t>
        </is>
      </c>
      <c r="C124" t="n">
        <v>120</v>
      </c>
      <c r="D124" t="n">
        <v>120</v>
      </c>
      <c r="E124" t="n">
        <v>5.008</v>
      </c>
      <c r="F124">
        <f>IF(B123=B124, IFERROR((E124-E123)/ABS(E123), "n/a"), "")</f>
        <v/>
      </c>
      <c r="G124" t="n">
        <v>91.4867</v>
      </c>
    </row>
    <row r="125">
      <c r="A125" t="inlineStr">
        <is>
          <t>2026-10-02</t>
        </is>
      </c>
      <c r="B125" t="inlineStr">
        <is>
          <t>Oil</t>
        </is>
      </c>
      <c r="C125" t="n">
        <v>120</v>
      </c>
      <c r="D125" t="n">
        <v>120</v>
      </c>
      <c r="E125" t="n">
        <v>5.458</v>
      </c>
      <c r="F125">
        <f>IF(B124=B125, IFERROR((E125-E124)/ABS(E124), "n/a"), "")</f>
        <v/>
      </c>
      <c r="G125" t="n">
        <v>90.88330000000001</v>
      </c>
    </row>
    <row r="126">
      <c r="A126" t="inlineStr">
        <is>
          <t>2026-10-03</t>
        </is>
      </c>
      <c r="B126" t="inlineStr">
        <is>
          <t>Oil</t>
        </is>
      </c>
      <c r="C126" t="n">
        <v>160</v>
      </c>
      <c r="D126" t="n">
        <v>160</v>
      </c>
      <c r="E126" t="n">
        <v>1.557</v>
      </c>
      <c r="F126">
        <f>IF(B125=B126, IFERROR((E126-E125)/ABS(E125), "n/a"), "")</f>
        <v/>
      </c>
      <c r="G126" t="n">
        <v>91.14749999999999</v>
      </c>
    </row>
    <row r="127">
      <c r="A127" t="inlineStr">
        <is>
          <t>2026-10-04</t>
        </is>
      </c>
      <c r="B127" t="inlineStr">
        <is>
          <t>Oil</t>
        </is>
      </c>
      <c r="C127" t="n">
        <v>160</v>
      </c>
      <c r="D127" t="n">
        <v>160</v>
      </c>
      <c r="E127" t="n">
        <v>2.22</v>
      </c>
      <c r="F127">
        <f>IF(B126=B127, IFERROR((E127-E126)/ABS(E126), "n/a"), "")</f>
        <v/>
      </c>
      <c r="G127" t="n">
        <v>91.12</v>
      </c>
    </row>
    <row r="128">
      <c r="A128" t="inlineStr">
        <is>
          <t>2026-10-05</t>
        </is>
      </c>
      <c r="B128" t="inlineStr">
        <is>
          <t>Oil</t>
        </is>
      </c>
      <c r="C128" t="n">
        <v>80</v>
      </c>
      <c r="D128" t="n">
        <v>80</v>
      </c>
      <c r="E128" t="n">
        <v>3.079</v>
      </c>
      <c r="F128">
        <f>IF(B127=B128, IFERROR((E128-E127)/ABS(E127), "n/a"), "")</f>
        <v/>
      </c>
      <c r="G128" t="n">
        <v>89.875</v>
      </c>
    </row>
    <row r="129">
      <c r="A129" t="inlineStr">
        <is>
          <t>2026-10-06</t>
        </is>
      </c>
      <c r="B129" t="inlineStr">
        <is>
          <t>Oil</t>
        </is>
      </c>
      <c r="C129" t="n">
        <v>160</v>
      </c>
      <c r="D129" t="n">
        <v>160</v>
      </c>
      <c r="E129" t="n">
        <v>2.154</v>
      </c>
      <c r="F129">
        <f>IF(B128=B129, IFERROR((E129-E128)/ABS(E128), "n/a"), "")</f>
        <v/>
      </c>
      <c r="G129" t="n">
        <v>89.0125</v>
      </c>
    </row>
    <row r="130">
      <c r="A130" t="inlineStr">
        <is>
          <t>2026-10-07</t>
        </is>
      </c>
      <c r="B130" t="inlineStr">
        <is>
          <t>Oil</t>
        </is>
      </c>
      <c r="C130" t="n">
        <v>80</v>
      </c>
      <c r="D130" t="n">
        <v>80</v>
      </c>
      <c r="E130" t="n">
        <v>1.294</v>
      </c>
      <c r="F130">
        <f>IF(B129=B130, IFERROR((E130-E129)/ABS(E129), "n/a"), "")</f>
        <v/>
      </c>
      <c r="G130" t="n">
        <v>89.56</v>
      </c>
    </row>
    <row r="131">
      <c r="A131" t="inlineStr">
        <is>
          <t>2026-10-08</t>
        </is>
      </c>
      <c r="B131" t="inlineStr">
        <is>
          <t>Oil</t>
        </is>
      </c>
      <c r="C131" t="n">
        <v>120</v>
      </c>
      <c r="D131" t="n">
        <v>120</v>
      </c>
      <c r="E131" t="n">
        <v>3.224</v>
      </c>
      <c r="F131">
        <f>IF(B130=B131, IFERROR((E131-E130)/ABS(E130), "n/a"), "")</f>
        <v/>
      </c>
      <c r="G131" t="n">
        <v>91.2867</v>
      </c>
    </row>
    <row r="132">
      <c r="A132" t="inlineStr">
        <is>
          <t>2026-10-09</t>
        </is>
      </c>
      <c r="B132" t="inlineStr">
        <is>
          <t>Oil</t>
        </is>
      </c>
      <c r="C132" t="n">
        <v>120</v>
      </c>
      <c r="D132" t="n">
        <v>120</v>
      </c>
      <c r="E132" t="n">
        <v>2.528</v>
      </c>
      <c r="F132">
        <f>IF(B131=B132, IFERROR((E132-E131)/ABS(E131), "n/a"), "")</f>
        <v/>
      </c>
      <c r="G132" t="n">
        <v>91.1867</v>
      </c>
    </row>
    <row r="133">
      <c r="A133" t="inlineStr">
        <is>
          <t>2026-10-10</t>
        </is>
      </c>
      <c r="B133" t="inlineStr">
        <is>
          <t>Oil</t>
        </is>
      </c>
      <c r="C133" t="n">
        <v>160</v>
      </c>
      <c r="D133" t="n">
        <v>160</v>
      </c>
      <c r="E133" t="n">
        <v>2.922</v>
      </c>
      <c r="F133">
        <f>IF(B132=B133, IFERROR((E133-E132)/ABS(E132), "n/a"), "")</f>
        <v/>
      </c>
      <c r="G133" t="n">
        <v>91.80249999999999</v>
      </c>
    </row>
    <row r="134">
      <c r="A134" t="inlineStr">
        <is>
          <t>2026-10-11</t>
        </is>
      </c>
      <c r="B134" t="inlineStr">
        <is>
          <t>Oil</t>
        </is>
      </c>
      <c r="C134" t="n">
        <v>152</v>
      </c>
      <c r="D134" t="n">
        <v>160</v>
      </c>
      <c r="E134" t="n">
        <v>3.45</v>
      </c>
      <c r="F134">
        <f>IF(B133=B134, IFERROR((E134-E133)/ABS(E133), "n/a"), "")</f>
        <v/>
      </c>
      <c r="G134" t="n">
        <v>91.8325</v>
      </c>
    </row>
    <row r="135">
      <c r="A135" t="inlineStr">
        <is>
          <t>2026-10-12</t>
        </is>
      </c>
      <c r="B135" t="inlineStr">
        <is>
          <t>Oil</t>
        </is>
      </c>
      <c r="C135" t="n">
        <v>80</v>
      </c>
      <c r="D135" t="n">
        <v>80</v>
      </c>
      <c r="E135" t="n">
        <v>4.514</v>
      </c>
      <c r="F135">
        <f>IF(B134=B135, IFERROR((E135-E134)/ABS(E134), "n/a"), "")</f>
        <v/>
      </c>
      <c r="G135" t="n">
        <v>92.06</v>
      </c>
    </row>
    <row r="136">
      <c r="A136" t="inlineStr">
        <is>
          <t>2026-10-13</t>
        </is>
      </c>
      <c r="B136" t="inlineStr">
        <is>
          <t>Oil</t>
        </is>
      </c>
      <c r="C136" t="n">
        <v>160</v>
      </c>
      <c r="D136" t="n">
        <v>160</v>
      </c>
      <c r="E136" t="n">
        <v>3.841</v>
      </c>
      <c r="F136">
        <f>IF(B135=B136, IFERROR((E136-E135)/ABS(E135), "n/a"), "")</f>
        <v/>
      </c>
      <c r="G136" t="n">
        <v>93.3925</v>
      </c>
    </row>
    <row r="137">
      <c r="A137" t="inlineStr">
        <is>
          <t>2026-10-14</t>
        </is>
      </c>
      <c r="B137" t="inlineStr">
        <is>
          <t>Oil</t>
        </is>
      </c>
      <c r="C137" t="n">
        <v>160</v>
      </c>
      <c r="D137" t="n">
        <v>160</v>
      </c>
      <c r="E137" t="n">
        <v>2.97</v>
      </c>
      <c r="F137">
        <f>IF(B136=B137, IFERROR((E137-E136)/ABS(E136), "n/a"), "")</f>
        <v/>
      </c>
      <c r="G137" t="n">
        <v>94.825</v>
      </c>
    </row>
    <row r="138">
      <c r="A138" t="inlineStr">
        <is>
          <t>2026-10-15</t>
        </is>
      </c>
      <c r="B138" t="inlineStr">
        <is>
          <t>Oil</t>
        </is>
      </c>
      <c r="C138" t="n">
        <v>160</v>
      </c>
      <c r="D138" t="n">
        <v>160</v>
      </c>
      <c r="E138" t="n">
        <v>3.736</v>
      </c>
      <c r="F138">
        <f>IF(B137=B138, IFERROR((E138-E137)/ABS(E137), "n/a"), "")</f>
        <v/>
      </c>
      <c r="G138" t="n">
        <v>95.38</v>
      </c>
    </row>
    <row r="139">
      <c r="A139" t="inlineStr">
        <is>
          <t>2026-10-16</t>
        </is>
      </c>
      <c r="B139" t="inlineStr">
        <is>
          <t>Oil</t>
        </is>
      </c>
      <c r="C139" t="n">
        <v>160</v>
      </c>
      <c r="D139" t="n">
        <v>160</v>
      </c>
      <c r="E139" t="n">
        <v>5.13</v>
      </c>
      <c r="F139">
        <f>IF(B138=B139, IFERROR((E139-E138)/ABS(E138), "n/a"), "")</f>
        <v/>
      </c>
      <c r="G139" t="n">
        <v>96.84</v>
      </c>
    </row>
    <row r="140">
      <c r="A140" t="inlineStr">
        <is>
          <t>2026-10-17</t>
        </is>
      </c>
      <c r="B140" t="inlineStr">
        <is>
          <t>Oil</t>
        </is>
      </c>
      <c r="C140" t="n">
        <v>200</v>
      </c>
      <c r="D140" t="n">
        <v>200</v>
      </c>
      <c r="E140" t="n">
        <v>7.134</v>
      </c>
      <c r="F140">
        <f>IF(B139=B140, IFERROR((E140-E139)/ABS(E139), "n/a"), "")</f>
        <v/>
      </c>
      <c r="G140" t="n">
        <v>99.04000000000001</v>
      </c>
    </row>
    <row r="141">
      <c r="A141" t="inlineStr">
        <is>
          <t>2026-10-18</t>
        </is>
      </c>
      <c r="B141" t="inlineStr">
        <is>
          <t>Oil</t>
        </is>
      </c>
      <c r="C141" t="n">
        <v>200</v>
      </c>
      <c r="D141" t="n">
        <v>200</v>
      </c>
      <c r="E141" t="n">
        <v>5.318</v>
      </c>
      <c r="F141">
        <f>IF(B140=B141, IFERROR((E141-E140)/ABS(E140), "n/a"), "")</f>
        <v/>
      </c>
      <c r="G141" t="n">
        <v>99.02</v>
      </c>
    </row>
    <row r="142">
      <c r="A142" t="inlineStr">
        <is>
          <t>2026-09-14</t>
        </is>
      </c>
      <c r="B142" t="inlineStr">
        <is>
          <t>S&amp;P 500</t>
        </is>
      </c>
      <c r="C142" t="n">
        <v>228</v>
      </c>
      <c r="D142" t="n">
        <v>237</v>
      </c>
      <c r="E142" t="n">
        <v>-1.22</v>
      </c>
      <c r="F142">
        <f>IF(B141=B142, IFERROR((E142-E141)/ABS(E141), "n/a"), "")</f>
        <v/>
      </c>
      <c r="G142" t="n">
        <v>7645.15</v>
      </c>
    </row>
    <row r="143">
      <c r="A143" t="inlineStr">
        <is>
          <t>2026-09-15</t>
        </is>
      </c>
      <c r="B143" t="inlineStr">
        <is>
          <t>S&amp;P 500</t>
        </is>
      </c>
      <c r="C143" t="n">
        <v>154</v>
      </c>
      <c r="D143" t="n">
        <v>155</v>
      </c>
      <c r="E143" t="n">
        <v>-1.495</v>
      </c>
      <c r="F143">
        <f>IF(B142=B143, IFERROR((E143-E142)/ABS(E142), "n/a"), "")</f>
        <v/>
      </c>
      <c r="G143" t="n">
        <v>7664</v>
      </c>
    </row>
    <row r="144">
      <c r="A144" t="inlineStr">
        <is>
          <t>2026-09-16</t>
        </is>
      </c>
      <c r="B144" t="inlineStr">
        <is>
          <t>S&amp;P 500</t>
        </is>
      </c>
      <c r="C144" t="n">
        <v>153</v>
      </c>
      <c r="D144" t="n">
        <v>155</v>
      </c>
      <c r="E144" t="n">
        <v>3.536</v>
      </c>
      <c r="F144">
        <f>IF(B143=B144, IFERROR((E144-E143)/ABS(E143), "n/a"), "")</f>
        <v/>
      </c>
      <c r="G144" t="n">
        <v>7665.9375</v>
      </c>
    </row>
    <row r="145">
      <c r="A145" t="inlineStr">
        <is>
          <t>2026-09-17</t>
        </is>
      </c>
      <c r="B145" t="inlineStr">
        <is>
          <t>S&amp;P 500</t>
        </is>
      </c>
      <c r="C145" t="n">
        <v>155</v>
      </c>
      <c r="D145" t="n">
        <v>158</v>
      </c>
      <c r="E145" t="n">
        <v>0.912</v>
      </c>
      <c r="F145">
        <f>IF(B144=B145, IFERROR((E145-E144)/ABS(E144), "n/a"), "")</f>
        <v/>
      </c>
      <c r="G145" t="n">
        <v>7689.6875</v>
      </c>
    </row>
    <row r="146">
      <c r="A146" t="inlineStr">
        <is>
          <t>2026-09-18</t>
        </is>
      </c>
      <c r="B146" t="inlineStr">
        <is>
          <t>S&amp;P 500</t>
        </is>
      </c>
      <c r="C146" t="n">
        <v>160</v>
      </c>
      <c r="D146" t="n">
        <v>160</v>
      </c>
      <c r="E146" t="n">
        <v>3.252</v>
      </c>
      <c r="F146">
        <f>IF(B145=B146, IFERROR((E146-E145)/ABS(E145), "n/a"), "")</f>
        <v/>
      </c>
      <c r="G146" t="n">
        <v>7712.55</v>
      </c>
    </row>
    <row r="147">
      <c r="A147" t="inlineStr">
        <is>
          <t>2026-09-19</t>
        </is>
      </c>
      <c r="B147" t="inlineStr">
        <is>
          <t>S&amp;P 500</t>
        </is>
      </c>
      <c r="C147" t="n">
        <v>200</v>
      </c>
      <c r="D147" t="n">
        <v>200</v>
      </c>
      <c r="E147" t="n">
        <v>2.97</v>
      </c>
      <c r="F147">
        <f>IF(B146=B147, IFERROR((E147-E146)/ABS(E146), "n/a"), "")</f>
        <v/>
      </c>
      <c r="G147" t="n">
        <v>7712.5</v>
      </c>
    </row>
    <row r="148">
      <c r="A148" t="inlineStr">
        <is>
          <t>2026-09-20</t>
        </is>
      </c>
      <c r="B148" t="inlineStr">
        <is>
          <t>S&amp;P 500</t>
        </is>
      </c>
      <c r="C148" t="n">
        <v>199</v>
      </c>
      <c r="D148" t="n">
        <v>200</v>
      </c>
      <c r="E148" t="n">
        <v>3.994</v>
      </c>
      <c r="F148">
        <f>IF(B147=B148, IFERROR((E148-E147)/ABS(E147), "n/a"), "")</f>
        <v/>
      </c>
      <c r="G148" t="n">
        <v>7712.5</v>
      </c>
    </row>
    <row r="149">
      <c r="A149" t="inlineStr">
        <is>
          <t>2026-09-21</t>
        </is>
      </c>
      <c r="B149" t="inlineStr">
        <is>
          <t>S&amp;P 500</t>
        </is>
      </c>
      <c r="C149" t="n">
        <v>159</v>
      </c>
      <c r="D149" t="n">
        <v>160</v>
      </c>
      <c r="E149" t="n">
        <v>0.102</v>
      </c>
      <c r="F149">
        <f>IF(B148=B149, IFERROR((E149-E148)/ABS(E148), "n/a"), "")</f>
        <v/>
      </c>
      <c r="G149" t="n">
        <v>7791.875</v>
      </c>
    </row>
    <row r="150">
      <c r="A150" t="inlineStr">
        <is>
          <t>2026-09-22</t>
        </is>
      </c>
      <c r="B150" t="inlineStr">
        <is>
          <t>S&amp;P 500</t>
        </is>
      </c>
      <c r="C150" t="n">
        <v>157</v>
      </c>
      <c r="D150" t="n">
        <v>160</v>
      </c>
      <c r="E150" t="n">
        <v>-0.046</v>
      </c>
      <c r="F150">
        <f>IF(B149=B150, IFERROR((E150-E149)/ABS(E149), "n/a"), "")</f>
        <v/>
      </c>
      <c r="G150" t="n">
        <v>7832</v>
      </c>
    </row>
    <row r="151">
      <c r="A151" t="inlineStr">
        <is>
          <t>2026-09-23</t>
        </is>
      </c>
      <c r="B151" t="inlineStr">
        <is>
          <t>S&amp;P 500</t>
        </is>
      </c>
      <c r="C151" t="n">
        <v>158</v>
      </c>
      <c r="D151" t="n">
        <v>160</v>
      </c>
      <c r="E151" t="n">
        <v>1.063</v>
      </c>
      <c r="F151">
        <f>IF(B150=B151, IFERROR((E151-E150)/ABS(E150), "n/a"), "")</f>
        <v/>
      </c>
      <c r="G151" t="n">
        <v>7806.6875</v>
      </c>
    </row>
    <row r="152">
      <c r="A152" t="inlineStr">
        <is>
          <t>2026-09-24</t>
        </is>
      </c>
      <c r="B152" t="inlineStr">
        <is>
          <t>S&amp;P 500</t>
        </is>
      </c>
      <c r="C152" t="n">
        <v>157</v>
      </c>
      <c r="D152" t="n">
        <v>160</v>
      </c>
      <c r="E152" t="n">
        <v>3.976</v>
      </c>
      <c r="F152">
        <f>IF(B151=B152, IFERROR((E152-E151)/ABS(E151), "n/a"), "")</f>
        <v/>
      </c>
      <c r="G152" t="n">
        <v>7748.875</v>
      </c>
    </row>
    <row r="153">
      <c r="A153" t="inlineStr">
        <is>
          <t>2026-09-25</t>
        </is>
      </c>
      <c r="B153" t="inlineStr">
        <is>
          <t>S&amp;P 500</t>
        </is>
      </c>
      <c r="C153" t="n">
        <v>196</v>
      </c>
      <c r="D153" t="n">
        <v>192</v>
      </c>
      <c r="E153" t="n">
        <v>1.072</v>
      </c>
      <c r="F153">
        <f>IF(B152=B153, IFERROR((E153-E152)/ABS(E152), "n/a"), "")</f>
        <v/>
      </c>
      <c r="G153" t="n">
        <v>7794</v>
      </c>
    </row>
    <row r="154">
      <c r="A154" t="inlineStr">
        <is>
          <t>2026-09-26</t>
        </is>
      </c>
      <c r="B154" t="inlineStr">
        <is>
          <t>S&amp;P 500</t>
        </is>
      </c>
      <c r="C154" t="n">
        <v>199</v>
      </c>
      <c r="D154" t="n">
        <v>200</v>
      </c>
      <c r="E154" t="n">
        <v>-0.5649999999999999</v>
      </c>
      <c r="F154">
        <f>IF(B153=B154, IFERROR((E154-E153)/ABS(E153), "n/a"), "")</f>
        <v/>
      </c>
      <c r="G154" t="n">
        <v>7804.15</v>
      </c>
    </row>
    <row r="155">
      <c r="A155" t="inlineStr">
        <is>
          <t>2026-09-27</t>
        </is>
      </c>
      <c r="B155" t="inlineStr">
        <is>
          <t>S&amp;P 500</t>
        </is>
      </c>
      <c r="C155" t="n">
        <v>158</v>
      </c>
      <c r="D155" t="n">
        <v>160</v>
      </c>
      <c r="E155" t="n">
        <v>6.14</v>
      </c>
      <c r="F155">
        <f>IF(B154=B155, IFERROR((E155-E154)/ABS(E154), "n/a"), "")</f>
        <v/>
      </c>
      <c r="G155" t="n">
        <v>7798.625</v>
      </c>
    </row>
    <row r="156">
      <c r="A156" t="inlineStr">
        <is>
          <t>2026-09-28</t>
        </is>
      </c>
      <c r="B156" t="inlineStr">
        <is>
          <t>S&amp;P 500</t>
        </is>
      </c>
      <c r="C156" t="n">
        <v>78</v>
      </c>
      <c r="D156" t="n">
        <v>80</v>
      </c>
      <c r="E156" t="n">
        <v>8.507999999999999</v>
      </c>
      <c r="F156">
        <f>IF(B155=B156, IFERROR((E156-E155)/ABS(E155), "n/a"), "")</f>
        <v/>
      </c>
      <c r="G156" t="n">
        <v>7770</v>
      </c>
    </row>
    <row r="157">
      <c r="A157" t="inlineStr">
        <is>
          <t>2026-09-29</t>
        </is>
      </c>
      <c r="B157" t="inlineStr">
        <is>
          <t>S&amp;P 500</t>
        </is>
      </c>
      <c r="C157" t="n">
        <v>156</v>
      </c>
      <c r="D157" t="n">
        <v>159</v>
      </c>
      <c r="E157" t="n">
        <v>8.119999999999999</v>
      </c>
      <c r="F157">
        <f>IF(B156=B157, IFERROR((E157-E156)/ABS(E156), "n/a"), "")</f>
        <v/>
      </c>
      <c r="G157" t="n">
        <v>7739.25</v>
      </c>
    </row>
    <row r="158">
      <c r="A158" t="inlineStr">
        <is>
          <t>2026-09-30</t>
        </is>
      </c>
      <c r="B158" t="inlineStr">
        <is>
          <t>S&amp;P 500</t>
        </is>
      </c>
      <c r="C158" t="n">
        <v>117</v>
      </c>
      <c r="D158" t="n">
        <v>119</v>
      </c>
      <c r="E158" t="n">
        <v>7.649</v>
      </c>
      <c r="F158">
        <f>IF(B157=B158, IFERROR((E158-E157)/ABS(E157), "n/a"), "")</f>
        <v/>
      </c>
      <c r="G158" t="n">
        <v>7745.6667</v>
      </c>
    </row>
    <row r="159">
      <c r="A159" t="inlineStr">
        <is>
          <t>2026-10-01</t>
        </is>
      </c>
      <c r="B159" t="inlineStr">
        <is>
          <t>S&amp;P 500</t>
        </is>
      </c>
      <c r="C159" t="n">
        <v>115</v>
      </c>
      <c r="D159" t="n">
        <v>120</v>
      </c>
      <c r="E159" t="n">
        <v>8.207000000000001</v>
      </c>
      <c r="F159">
        <f>IF(B158=B159, IFERROR((E159-E158)/ABS(E158), "n/a"), "")</f>
        <v/>
      </c>
      <c r="G159" t="n">
        <v>7718.5</v>
      </c>
    </row>
    <row r="160">
      <c r="A160" t="inlineStr">
        <is>
          <t>2026-10-02</t>
        </is>
      </c>
      <c r="B160" t="inlineStr">
        <is>
          <t>S&amp;P 500</t>
        </is>
      </c>
      <c r="C160" t="n">
        <v>114</v>
      </c>
      <c r="D160" t="n">
        <v>120</v>
      </c>
      <c r="E160" t="n">
        <v>6.817</v>
      </c>
      <c r="F160">
        <f>IF(B159=B160, IFERROR((E160-E159)/ABS(E159), "n/a"), "")</f>
        <v/>
      </c>
      <c r="G160" t="n">
        <v>7776.5</v>
      </c>
    </row>
    <row r="161">
      <c r="A161" t="inlineStr">
        <is>
          <t>2026-10-03</t>
        </is>
      </c>
      <c r="B161" t="inlineStr">
        <is>
          <t>S&amp;P 500</t>
        </is>
      </c>
      <c r="C161" t="n">
        <v>156</v>
      </c>
      <c r="D161" t="n">
        <v>159</v>
      </c>
      <c r="E161" t="n">
        <v>6.478</v>
      </c>
      <c r="F161">
        <f>IF(B160=B161, IFERROR((E161-E160)/ABS(E160), "n/a"), "")</f>
        <v/>
      </c>
      <c r="G161" t="n">
        <v>7777.0625</v>
      </c>
    </row>
    <row r="162">
      <c r="A162" t="inlineStr">
        <is>
          <t>2026-10-04</t>
        </is>
      </c>
      <c r="B162" t="inlineStr">
        <is>
          <t>S&amp;P 500</t>
        </is>
      </c>
      <c r="C162" t="n">
        <v>152</v>
      </c>
      <c r="D162" t="n">
        <v>158</v>
      </c>
      <c r="E162" t="n">
        <v>7.192</v>
      </c>
      <c r="F162">
        <f>IF(B161=B162, IFERROR((E162-E161)/ABS(E161), "n/a"), "")</f>
        <v/>
      </c>
      <c r="G162" t="n">
        <v>7779.75</v>
      </c>
    </row>
    <row r="163">
      <c r="A163" t="inlineStr">
        <is>
          <t>2026-10-05</t>
        </is>
      </c>
      <c r="B163" t="inlineStr">
        <is>
          <t>S&amp;P 500</t>
        </is>
      </c>
      <c r="C163" t="n">
        <v>77</v>
      </c>
      <c r="D163" t="n">
        <v>79</v>
      </c>
      <c r="E163" t="n">
        <v>7.176</v>
      </c>
      <c r="F163">
        <f>IF(B162=B163, IFERROR((E163-E162)/ABS(E162), "n/a"), "")</f>
        <v/>
      </c>
      <c r="G163" t="n">
        <v>7798.125</v>
      </c>
    </row>
    <row r="164">
      <c r="A164" t="inlineStr">
        <is>
          <t>2026-10-06</t>
        </is>
      </c>
      <c r="B164" t="inlineStr">
        <is>
          <t>S&amp;P 500</t>
        </is>
      </c>
      <c r="C164" t="n">
        <v>155</v>
      </c>
      <c r="D164" t="n">
        <v>160</v>
      </c>
      <c r="E164" t="n">
        <v>4.085</v>
      </c>
      <c r="F164">
        <f>IF(B163=B164, IFERROR((E164-E163)/ABS(E163), "n/a"), "")</f>
        <v/>
      </c>
      <c r="G164" t="n">
        <v>7861.9375</v>
      </c>
    </row>
    <row r="165">
      <c r="A165" t="inlineStr">
        <is>
          <t>2026-10-07</t>
        </is>
      </c>
      <c r="B165" t="inlineStr">
        <is>
          <t>S&amp;P 500</t>
        </is>
      </c>
      <c r="C165" t="n">
        <v>79</v>
      </c>
      <c r="D165" t="n">
        <v>79</v>
      </c>
      <c r="E165" t="n">
        <v>2.434</v>
      </c>
      <c r="F165">
        <f>IF(B164=B165, IFERROR((E165-E164)/ABS(E164), "n/a"), "")</f>
        <v/>
      </c>
      <c r="G165" t="n">
        <v>7864.125</v>
      </c>
    </row>
    <row r="166">
      <c r="A166" t="inlineStr">
        <is>
          <t>2026-10-08</t>
        </is>
      </c>
      <c r="B166" t="inlineStr">
        <is>
          <t>S&amp;P 500</t>
        </is>
      </c>
      <c r="C166" t="n">
        <v>118</v>
      </c>
      <c r="D166" t="n">
        <v>120</v>
      </c>
      <c r="E166" t="n">
        <v>5.102</v>
      </c>
      <c r="F166">
        <f>IF(B165=B166, IFERROR((E166-E165)/ABS(E165), "n/a"), "")</f>
        <v/>
      </c>
      <c r="G166" t="n">
        <v>7834.25</v>
      </c>
    </row>
    <row r="167">
      <c r="A167" t="inlineStr">
        <is>
          <t>2026-10-09</t>
        </is>
      </c>
      <c r="B167" t="inlineStr">
        <is>
          <t>S&amp;P 500</t>
        </is>
      </c>
      <c r="C167" t="n">
        <v>115</v>
      </c>
      <c r="D167" t="n">
        <v>119</v>
      </c>
      <c r="E167" t="n">
        <v>1.185</v>
      </c>
      <c r="F167">
        <f>IF(B166=B167, IFERROR((E167-E166)/ABS(E166), "n/a"), "")</f>
        <v/>
      </c>
      <c r="G167" t="n">
        <v>7848.4167</v>
      </c>
    </row>
    <row r="168">
      <c r="A168" t="inlineStr">
        <is>
          <t>2026-10-10</t>
        </is>
      </c>
      <c r="B168" t="inlineStr">
        <is>
          <t>S&amp;P 500</t>
        </is>
      </c>
      <c r="C168" t="n">
        <v>153</v>
      </c>
      <c r="D168" t="n">
        <v>160</v>
      </c>
      <c r="E168" t="n">
        <v>1.827</v>
      </c>
      <c r="F168">
        <f>IF(B167=B168, IFERROR((E168-E167)/ABS(E167), "n/a"), "")</f>
        <v/>
      </c>
      <c r="G168" t="n">
        <v>7861.3125</v>
      </c>
    </row>
    <row r="169">
      <c r="A169" t="inlineStr">
        <is>
          <t>2026-10-11</t>
        </is>
      </c>
      <c r="B169" t="inlineStr">
        <is>
          <t>S&amp;P 500</t>
        </is>
      </c>
      <c r="C169" t="n">
        <v>155</v>
      </c>
      <c r="D169" t="n">
        <v>157</v>
      </c>
      <c r="E169" t="n">
        <v>5.242</v>
      </c>
      <c r="F169">
        <f>IF(B168=B169, IFERROR((E169-E168)/ABS(E168), "n/a"), "")</f>
        <v/>
      </c>
      <c r="G169" t="n">
        <v>7863.5625</v>
      </c>
    </row>
    <row r="170">
      <c r="A170" t="inlineStr">
        <is>
          <t>2026-10-12</t>
        </is>
      </c>
      <c r="B170" t="inlineStr">
        <is>
          <t>S&amp;P 500</t>
        </is>
      </c>
      <c r="C170" t="n">
        <v>77</v>
      </c>
      <c r="D170" t="n">
        <v>79</v>
      </c>
      <c r="E170" t="n">
        <v>6.429</v>
      </c>
      <c r="F170">
        <f>IF(B169=B170, IFERROR((E170-E169)/ABS(E169), "n/a"), "")</f>
        <v/>
      </c>
      <c r="G170" t="n">
        <v>7870.5</v>
      </c>
    </row>
    <row r="171">
      <c r="A171" t="inlineStr">
        <is>
          <t>2026-10-13</t>
        </is>
      </c>
      <c r="B171" t="inlineStr">
        <is>
          <t>S&amp;P 500</t>
        </is>
      </c>
      <c r="C171" t="n">
        <v>156</v>
      </c>
      <c r="D171" t="n">
        <v>160</v>
      </c>
      <c r="E171" t="n">
        <v>4.642</v>
      </c>
      <c r="F171">
        <f>IF(B170=B171, IFERROR((E171-E170)/ABS(E170), "n/a"), "")</f>
        <v/>
      </c>
      <c r="G171" t="n">
        <v>7849.25</v>
      </c>
    </row>
    <row r="172">
      <c r="A172" t="inlineStr">
        <is>
          <t>2026-10-14</t>
        </is>
      </c>
      <c r="B172" t="inlineStr">
        <is>
          <t>S&amp;P 500</t>
        </is>
      </c>
      <c r="C172" t="n">
        <v>151</v>
      </c>
      <c r="D172" t="n">
        <v>158</v>
      </c>
      <c r="E172" t="n">
        <v>5.773</v>
      </c>
      <c r="F172">
        <f>IF(B171=B172, IFERROR((E172-E171)/ABS(E171), "n/a"), "")</f>
        <v/>
      </c>
      <c r="G172" t="n">
        <v>7815.8125</v>
      </c>
    </row>
    <row r="173">
      <c r="A173" t="inlineStr">
        <is>
          <t>2026-10-15</t>
        </is>
      </c>
      <c r="B173" t="inlineStr">
        <is>
          <t>S&amp;P 500</t>
        </is>
      </c>
      <c r="C173" t="n">
        <v>150</v>
      </c>
      <c r="D173" t="n">
        <v>156</v>
      </c>
      <c r="E173" t="n">
        <v>7.571</v>
      </c>
      <c r="F173">
        <f>IF(B172=B173, IFERROR((E173-E172)/ABS(E172), "n/a"), "")</f>
        <v/>
      </c>
      <c r="G173" t="n">
        <v>7758.9375</v>
      </c>
    </row>
    <row r="174">
      <c r="A174" t="inlineStr">
        <is>
          <t>2026-10-16</t>
        </is>
      </c>
      <c r="B174" t="inlineStr">
        <is>
          <t>S&amp;P 500</t>
        </is>
      </c>
      <c r="C174" t="n">
        <v>153</v>
      </c>
      <c r="D174" t="n">
        <v>150</v>
      </c>
      <c r="E174" t="n">
        <v>7.075</v>
      </c>
      <c r="F174">
        <f>IF(B173=B174, IFERROR((E174-E173)/ABS(E173), "n/a"), "")</f>
        <v/>
      </c>
      <c r="G174" t="n">
        <v>7760.625</v>
      </c>
    </row>
    <row r="175">
      <c r="A175" t="inlineStr">
        <is>
          <t>2026-10-17</t>
        </is>
      </c>
      <c r="B175" t="inlineStr">
        <is>
          <t>S&amp;P 500</t>
        </is>
      </c>
      <c r="C175" t="n">
        <v>199</v>
      </c>
      <c r="D175" t="n">
        <v>192</v>
      </c>
      <c r="E175" t="n">
        <v>8.451000000000001</v>
      </c>
      <c r="F175">
        <f>IF(B174=B175, IFERROR((E175-E174)/ABS(E174), "n/a"), "")</f>
        <v/>
      </c>
      <c r="G175" t="n">
        <v>7703.75</v>
      </c>
    </row>
    <row r="176">
      <c r="A176" t="inlineStr">
        <is>
          <t>2026-10-18</t>
        </is>
      </c>
      <c r="B176" t="inlineStr">
        <is>
          <t>S&amp;P 500</t>
        </is>
      </c>
      <c r="C176" t="n">
        <v>199</v>
      </c>
      <c r="D176" t="n">
        <v>191</v>
      </c>
      <c r="E176" t="n">
        <v>6.662</v>
      </c>
      <c r="F176">
        <f>IF(B175=B176, IFERROR((E176-E175)/ABS(E175), "n/a"), "")</f>
        <v/>
      </c>
      <c r="G176" t="n">
        <v>7704.25</v>
      </c>
    </row>
    <row r="177">
      <c r="A177" t="inlineStr">
        <is>
          <t>2026-09-14</t>
        </is>
      </c>
      <c r="B177" t="inlineStr">
        <is>
          <t>US Dollar</t>
        </is>
      </c>
      <c r="C177" t="n">
        <v>224</v>
      </c>
      <c r="D177" t="n">
        <v>232</v>
      </c>
      <c r="E177" t="n">
        <v>4.065</v>
      </c>
      <c r="F177">
        <f>IF(B176=B177, IFERROR((E177-E176)/ABS(E176), "n/a"), "")</f>
        <v/>
      </c>
      <c r="G177" t="n">
        <v>99.5022</v>
      </c>
    </row>
    <row r="178">
      <c r="A178" t="inlineStr">
        <is>
          <t>2026-09-15</t>
        </is>
      </c>
      <c r="B178" t="inlineStr">
        <is>
          <t>US Dollar</t>
        </is>
      </c>
      <c r="C178" t="n">
        <v>152</v>
      </c>
      <c r="D178" t="n">
        <v>158</v>
      </c>
      <c r="E178" t="n">
        <v>1.065</v>
      </c>
      <c r="F178">
        <f>IF(B177=B178, IFERROR((E178-E177)/ABS(E177), "n/a"), "")</f>
        <v/>
      </c>
      <c r="G178" t="n">
        <v>99.6268</v>
      </c>
    </row>
    <row r="179">
      <c r="A179" t="inlineStr">
        <is>
          <t>2026-09-16</t>
        </is>
      </c>
      <c r="B179" t="inlineStr">
        <is>
          <t>US Dollar</t>
        </is>
      </c>
      <c r="C179" t="n">
        <v>155</v>
      </c>
      <c r="D179" t="n">
        <v>158</v>
      </c>
      <c r="E179" t="n">
        <v>2.599</v>
      </c>
      <c r="F179">
        <f>IF(B178=B179, IFERROR((E179-E178)/ABS(E178), "n/a"), "")</f>
        <v/>
      </c>
      <c r="G179" t="n">
        <v>99.84050000000001</v>
      </c>
    </row>
    <row r="180">
      <c r="A180" t="inlineStr">
        <is>
          <t>2026-09-17</t>
        </is>
      </c>
      <c r="B180" t="inlineStr">
        <is>
          <t>US Dollar</t>
        </is>
      </c>
      <c r="C180" t="n">
        <v>156</v>
      </c>
      <c r="D180" t="n">
        <v>158</v>
      </c>
      <c r="E180" t="n">
        <v>1.162</v>
      </c>
      <c r="F180">
        <f>IF(B179=B180, IFERROR((E180-E179)/ABS(E179), "n/a"), "")</f>
        <v/>
      </c>
      <c r="G180" t="n">
        <v>100.241</v>
      </c>
    </row>
    <row r="181">
      <c r="A181" t="inlineStr">
        <is>
          <t>2026-09-18</t>
        </is>
      </c>
      <c r="B181" t="inlineStr">
        <is>
          <t>US Dollar</t>
        </is>
      </c>
      <c r="C181" t="n">
        <v>156</v>
      </c>
      <c r="D181" t="n">
        <v>156</v>
      </c>
      <c r="E181" t="n">
        <v>3.518</v>
      </c>
      <c r="F181">
        <f>IF(B180=B181, IFERROR((E181-E180)/ABS(E180), "n/a"), "")</f>
        <v/>
      </c>
      <c r="G181" t="n">
        <v>100.2984</v>
      </c>
    </row>
    <row r="182">
      <c r="A182" t="inlineStr">
        <is>
          <t>2026-09-19</t>
        </is>
      </c>
      <c r="B182" t="inlineStr">
        <is>
          <t>US Dollar</t>
        </is>
      </c>
      <c r="C182" t="n">
        <v>193</v>
      </c>
      <c r="D182" t="n">
        <v>197</v>
      </c>
      <c r="E182" t="n">
        <v>4.516</v>
      </c>
      <c r="F182">
        <f>IF(B181=B182, IFERROR((E182-E181)/ABS(E181), "n/a"), "")</f>
        <v/>
      </c>
      <c r="G182" t="n">
        <v>100.215</v>
      </c>
    </row>
    <row r="183">
      <c r="A183" t="inlineStr">
        <is>
          <t>2026-09-20</t>
        </is>
      </c>
      <c r="B183" t="inlineStr">
        <is>
          <t>US Dollar</t>
        </is>
      </c>
      <c r="C183" t="n">
        <v>195</v>
      </c>
      <c r="D183" t="n">
        <v>199</v>
      </c>
      <c r="E183" t="n">
        <v>4.616</v>
      </c>
      <c r="F183">
        <f>IF(B182=B183, IFERROR((E183-E182)/ABS(E182), "n/a"), "")</f>
        <v/>
      </c>
      <c r="G183" t="n">
        <v>100.214</v>
      </c>
    </row>
    <row r="184">
      <c r="A184" t="inlineStr">
        <is>
          <t>2026-09-21</t>
        </is>
      </c>
      <c r="B184" t="inlineStr">
        <is>
          <t>US Dollar</t>
        </is>
      </c>
      <c r="C184" t="n">
        <v>156</v>
      </c>
      <c r="D184" t="n">
        <v>156</v>
      </c>
      <c r="E184" t="n">
        <v>6.402</v>
      </c>
      <c r="F184">
        <f>IF(B183=B184, IFERROR((E184-E183)/ABS(E183), "n/a"), "")</f>
        <v/>
      </c>
      <c r="G184" t="n">
        <v>100.3642</v>
      </c>
    </row>
    <row r="185">
      <c r="A185" t="inlineStr">
        <is>
          <t>2026-09-22</t>
        </is>
      </c>
      <c r="B185" t="inlineStr">
        <is>
          <t>US Dollar</t>
        </is>
      </c>
      <c r="C185" t="n">
        <v>156</v>
      </c>
      <c r="D185" t="n">
        <v>157</v>
      </c>
      <c r="E185" t="n">
        <v>3.907</v>
      </c>
      <c r="F185">
        <f>IF(B184=B185, IFERROR((E185-E184)/ABS(E184), "n/a"), "")</f>
        <v/>
      </c>
      <c r="G185" t="n">
        <v>100.5027</v>
      </c>
    </row>
    <row r="186">
      <c r="A186" t="inlineStr">
        <is>
          <t>2026-09-23</t>
        </is>
      </c>
      <c r="B186" t="inlineStr">
        <is>
          <t>US Dollar</t>
        </is>
      </c>
      <c r="C186" t="n">
        <v>154</v>
      </c>
      <c r="D186" t="n">
        <v>159</v>
      </c>
      <c r="E186" t="n">
        <v>1.556</v>
      </c>
      <c r="F186">
        <f>IF(B185=B186, IFERROR((E186-E185)/ABS(E185), "n/a"), "")</f>
        <v/>
      </c>
      <c r="G186" t="n">
        <v>100.9125</v>
      </c>
    </row>
    <row r="187">
      <c r="A187" t="inlineStr">
        <is>
          <t>2026-09-24</t>
        </is>
      </c>
      <c r="B187" t="inlineStr">
        <is>
          <t>US Dollar</t>
        </is>
      </c>
      <c r="C187" t="n">
        <v>158</v>
      </c>
      <c r="D187" t="n">
        <v>158</v>
      </c>
      <c r="E187" t="n">
        <v>2.098</v>
      </c>
      <c r="F187">
        <f>IF(B186=B187, IFERROR((E187-E186)/ABS(E186), "n/a"), "")</f>
        <v/>
      </c>
      <c r="G187" t="n">
        <v>101.1772</v>
      </c>
    </row>
    <row r="188">
      <c r="A188" t="inlineStr">
        <is>
          <t>2026-09-25</t>
        </is>
      </c>
      <c r="B188" t="inlineStr">
        <is>
          <t>US Dollar</t>
        </is>
      </c>
      <c r="C188" t="n">
        <v>195</v>
      </c>
      <c r="D188" t="n">
        <v>199</v>
      </c>
      <c r="E188" t="n">
        <v>2.877</v>
      </c>
      <c r="F188">
        <f>IF(B187=B188, IFERROR((E188-E187)/ABS(E187), "n/a"), "")</f>
        <v/>
      </c>
      <c r="G188" t="n">
        <v>101.0876</v>
      </c>
    </row>
    <row r="189">
      <c r="A189" t="inlineStr">
        <is>
          <t>2026-09-26</t>
        </is>
      </c>
      <c r="B189" t="inlineStr">
        <is>
          <t>US Dollar</t>
        </is>
      </c>
      <c r="C189" t="n">
        <v>196</v>
      </c>
      <c r="D189" t="n">
        <v>200</v>
      </c>
      <c r="E189" t="n">
        <v>1.82</v>
      </c>
      <c r="F189">
        <f>IF(B188=B189, IFERROR((E189-E188)/ABS(E188), "n/a"), "")</f>
        <v/>
      </c>
      <c r="G189" t="n">
        <v>101.035</v>
      </c>
    </row>
    <row r="190">
      <c r="A190" t="inlineStr">
        <is>
          <t>2026-09-27</t>
        </is>
      </c>
      <c r="B190" t="inlineStr">
        <is>
          <t>US Dollar</t>
        </is>
      </c>
      <c r="C190" t="n">
        <v>157</v>
      </c>
      <c r="D190" t="n">
        <v>160</v>
      </c>
      <c r="E190" t="n">
        <v>1.424</v>
      </c>
      <c r="F190">
        <f>IF(B189=B190, IFERROR((E190-E189)/ABS(E189), "n/a"), "")</f>
        <v/>
      </c>
      <c r="G190" t="n">
        <v>101.035</v>
      </c>
    </row>
    <row r="191">
      <c r="A191" t="inlineStr">
        <is>
          <t>2026-09-28</t>
        </is>
      </c>
      <c r="B191" t="inlineStr">
        <is>
          <t>US Dollar</t>
        </is>
      </c>
      <c r="C191" t="n">
        <v>80</v>
      </c>
      <c r="D191" t="n">
        <v>80</v>
      </c>
      <c r="E191" t="n">
        <v>0.538</v>
      </c>
      <c r="F191">
        <f>IF(B190=B191, IFERROR((E191-E190)/ABS(E190), "n/a"), "")</f>
        <v/>
      </c>
      <c r="G191" t="n">
        <v>101.126</v>
      </c>
    </row>
    <row r="192">
      <c r="A192" t="inlineStr">
        <is>
          <t>2026-09-29</t>
        </is>
      </c>
      <c r="B192" t="inlineStr">
        <is>
          <t>US Dollar</t>
        </is>
      </c>
      <c r="C192" t="n">
        <v>160</v>
      </c>
      <c r="D192" t="n">
        <v>160</v>
      </c>
      <c r="E192" t="n">
        <v>-2.561</v>
      </c>
      <c r="F192">
        <f>IF(B191=B192, IFERROR((E192-E191)/ABS(E191), "n/a"), "")</f>
        <v/>
      </c>
      <c r="G192" t="n">
        <v>101.4082</v>
      </c>
    </row>
    <row r="193">
      <c r="A193" t="inlineStr">
        <is>
          <t>2026-09-30</t>
        </is>
      </c>
      <c r="B193" t="inlineStr">
        <is>
          <t>US Dollar</t>
        </is>
      </c>
      <c r="C193" t="n">
        <v>118</v>
      </c>
      <c r="D193" t="n">
        <v>120</v>
      </c>
      <c r="E193" t="n">
        <v>0.736</v>
      </c>
      <c r="F193">
        <f>IF(B192=B193, IFERROR((E193-E192)/ABS(E192), "n/a"), "")</f>
        <v/>
      </c>
      <c r="G193" t="n">
        <v>101.385</v>
      </c>
    </row>
    <row r="194">
      <c r="A194" t="inlineStr">
        <is>
          <t>2026-10-01</t>
        </is>
      </c>
      <c r="B194" t="inlineStr">
        <is>
          <t>US Dollar</t>
        </is>
      </c>
      <c r="C194" t="n">
        <v>119</v>
      </c>
      <c r="D194" t="n">
        <v>120</v>
      </c>
      <c r="E194" t="n">
        <v>2.138</v>
      </c>
      <c r="F194">
        <f>IF(B193=B194, IFERROR((E194-E193)/ABS(E193), "n/a"), "")</f>
        <v/>
      </c>
      <c r="G194" t="n">
        <v>101.8527</v>
      </c>
    </row>
    <row r="195">
      <c r="A195" t="inlineStr">
        <is>
          <t>2026-10-02</t>
        </is>
      </c>
      <c r="B195" t="inlineStr">
        <is>
          <t>US Dollar</t>
        </is>
      </c>
      <c r="C195" t="n">
        <v>118</v>
      </c>
      <c r="D195" t="n">
        <v>120</v>
      </c>
      <c r="E195" t="n">
        <v>1.546</v>
      </c>
      <c r="F195">
        <f>IF(B194=B195, IFERROR((E195-E194)/ABS(E194), "n/a"), "")</f>
        <v/>
      </c>
      <c r="G195" t="n">
        <v>101.8533</v>
      </c>
    </row>
    <row r="196">
      <c r="A196" t="inlineStr">
        <is>
          <t>2026-10-03</t>
        </is>
      </c>
      <c r="B196" t="inlineStr">
        <is>
          <t>US Dollar</t>
        </is>
      </c>
      <c r="C196" t="n">
        <v>154</v>
      </c>
      <c r="D196" t="n">
        <v>160</v>
      </c>
      <c r="E196" t="n">
        <v>1.091</v>
      </c>
      <c r="F196">
        <f>IF(B195=B196, IFERROR((E196-E195)/ABS(E195), "n/a"), "")</f>
        <v/>
      </c>
      <c r="G196" t="n">
        <v>101.924</v>
      </c>
    </row>
    <row r="197">
      <c r="A197" t="inlineStr">
        <is>
          <t>2026-10-04</t>
        </is>
      </c>
      <c r="B197" t="inlineStr">
        <is>
          <t>US Dollar</t>
        </is>
      </c>
      <c r="C197" t="n">
        <v>152</v>
      </c>
      <c r="D197" t="n">
        <v>160</v>
      </c>
      <c r="E197" t="n">
        <v>2.312</v>
      </c>
      <c r="F197">
        <f>IF(B196=B197, IFERROR((E197-E196)/ABS(E196), "n/a"), "")</f>
        <v/>
      </c>
      <c r="G197" t="n">
        <v>101.9143</v>
      </c>
    </row>
    <row r="198">
      <c r="A198" t="inlineStr">
        <is>
          <t>2026-10-05</t>
        </is>
      </c>
      <c r="B198" t="inlineStr">
        <is>
          <t>US Dollar</t>
        </is>
      </c>
      <c r="C198" t="n">
        <v>76</v>
      </c>
      <c r="D198" t="n">
        <v>80</v>
      </c>
      <c r="E198" t="n">
        <v>1.454</v>
      </c>
      <c r="F198">
        <f>IF(B197=B198, IFERROR((E198-E197)/ABS(E197), "n/a"), "")</f>
        <v/>
      </c>
      <c r="G198" t="n">
        <v>102.377</v>
      </c>
    </row>
    <row r="199">
      <c r="A199" t="inlineStr">
        <is>
          <t>2026-10-06</t>
        </is>
      </c>
      <c r="B199" t="inlineStr">
        <is>
          <t>US Dollar</t>
        </is>
      </c>
      <c r="C199" t="n">
        <v>157</v>
      </c>
      <c r="D199" t="n">
        <v>160</v>
      </c>
      <c r="E199" t="n">
        <v>0.577</v>
      </c>
      <c r="F199">
        <f>IF(B198=B199, IFERROR((E199-E198)/ABS(E198), "n/a"), "")</f>
        <v/>
      </c>
      <c r="G199" t="n">
        <v>101.9475</v>
      </c>
    </row>
    <row r="200">
      <c r="A200" t="inlineStr">
        <is>
          <t>2026-10-07</t>
        </is>
      </c>
      <c r="B200" t="inlineStr">
        <is>
          <t>US Dollar</t>
        </is>
      </c>
      <c r="C200" t="n">
        <v>78</v>
      </c>
      <c r="D200" t="n">
        <v>80</v>
      </c>
      <c r="E200" t="n">
        <v>2.276</v>
      </c>
      <c r="F200">
        <f>IF(B199=B200, IFERROR((E200-E199)/ABS(E199), "n/a"), "")</f>
        <v/>
      </c>
      <c r="G200" t="n">
        <v>102.1805</v>
      </c>
    </row>
    <row r="201">
      <c r="A201" t="inlineStr">
        <is>
          <t>2026-10-08</t>
        </is>
      </c>
      <c r="B201" t="inlineStr">
        <is>
          <t>US Dollar</t>
        </is>
      </c>
      <c r="C201" t="n">
        <v>120</v>
      </c>
      <c r="D201" t="n">
        <v>120</v>
      </c>
      <c r="E201" t="n">
        <v>3.926</v>
      </c>
      <c r="F201">
        <f>IF(B200=B201, IFERROR((E201-E200)/ABS(E200), "n/a"), "")</f>
        <v/>
      </c>
      <c r="G201" t="n">
        <v>102.1853</v>
      </c>
    </row>
    <row r="202">
      <c r="A202" t="inlineStr">
        <is>
          <t>2026-10-09</t>
        </is>
      </c>
      <c r="B202" t="inlineStr">
        <is>
          <t>US Dollar</t>
        </is>
      </c>
      <c r="C202" t="n">
        <v>120</v>
      </c>
      <c r="D202" t="n">
        <v>120</v>
      </c>
      <c r="E202" t="n">
        <v>3.027</v>
      </c>
      <c r="F202">
        <f>IF(B201=B202, IFERROR((E202-E201)/ABS(E201), "n/a"), "")</f>
        <v/>
      </c>
      <c r="G202" t="n">
        <v>102.172</v>
      </c>
    </row>
    <row r="203">
      <c r="A203" t="inlineStr">
        <is>
          <t>2026-10-10</t>
        </is>
      </c>
      <c r="B203" t="inlineStr">
        <is>
          <t>US Dollar</t>
        </is>
      </c>
      <c r="C203" t="n">
        <v>160</v>
      </c>
      <c r="D203" t="n">
        <v>160</v>
      </c>
      <c r="E203" t="n">
        <v>1.114</v>
      </c>
      <c r="F203">
        <f>IF(B202=B203, IFERROR((E203-E202)/ABS(E202), "n/a"), "")</f>
        <v/>
      </c>
      <c r="G203" t="n">
        <v>102.231</v>
      </c>
    </row>
    <row r="204">
      <c r="A204" t="inlineStr">
        <is>
          <t>2026-10-11</t>
        </is>
      </c>
      <c r="B204" t="inlineStr">
        <is>
          <t>US Dollar</t>
        </is>
      </c>
      <c r="C204" t="n">
        <v>160</v>
      </c>
      <c r="D204" t="n">
        <v>160</v>
      </c>
      <c r="E204" t="n">
        <v>1.738</v>
      </c>
      <c r="F204">
        <f>IF(B203=B204, IFERROR((E204-E203)/ABS(E203), "n/a"), "")</f>
        <v/>
      </c>
      <c r="G204" t="n">
        <v>102.2328</v>
      </c>
    </row>
    <row r="205">
      <c r="A205" t="inlineStr">
        <is>
          <t>2026-10-12</t>
        </is>
      </c>
      <c r="B205" t="inlineStr">
        <is>
          <t>US Dollar</t>
        </is>
      </c>
      <c r="C205" t="n">
        <v>80</v>
      </c>
      <c r="D205" t="n">
        <v>80</v>
      </c>
      <c r="E205" t="n">
        <v>1.148</v>
      </c>
      <c r="F205">
        <f>IF(B204=B205, IFERROR((E205-E204)/ABS(E204), "n/a"), "")</f>
        <v/>
      </c>
      <c r="G205" t="n">
        <v>102.367</v>
      </c>
    </row>
    <row r="206">
      <c r="A206" t="inlineStr">
        <is>
          <t>2026-10-13</t>
        </is>
      </c>
      <c r="B206" t="inlineStr">
        <is>
          <t>US Dollar</t>
        </is>
      </c>
      <c r="C206" t="n">
        <v>160</v>
      </c>
      <c r="D206" t="n">
        <v>160</v>
      </c>
      <c r="E206" t="n">
        <v>-0.172</v>
      </c>
      <c r="F206">
        <f>IF(B205=B206, IFERROR((E206-E205)/ABS(E205), "n/a"), "")</f>
        <v/>
      </c>
      <c r="G206" t="n">
        <v>102.288</v>
      </c>
    </row>
    <row r="207">
      <c r="A207" t="inlineStr">
        <is>
          <t>2026-10-14</t>
        </is>
      </c>
      <c r="B207" t="inlineStr">
        <is>
          <t>US Dollar</t>
        </is>
      </c>
      <c r="C207" t="n">
        <v>160</v>
      </c>
      <c r="D207" t="n">
        <v>160</v>
      </c>
      <c r="E207" t="n">
        <v>4.048</v>
      </c>
      <c r="F207">
        <f>IF(B206=B207, IFERROR((E207-E206)/ABS(E206), "n/a"), "")</f>
        <v/>
      </c>
      <c r="G207" t="n">
        <v>102.4245</v>
      </c>
    </row>
    <row r="208">
      <c r="A208" t="inlineStr">
        <is>
          <t>2026-10-15</t>
        </is>
      </c>
      <c r="B208" t="inlineStr">
        <is>
          <t>US Dollar</t>
        </is>
      </c>
      <c r="C208" t="n">
        <v>160</v>
      </c>
      <c r="D208" t="n">
        <v>157</v>
      </c>
      <c r="E208" t="n">
        <v>4.193</v>
      </c>
      <c r="F208">
        <f>IF(B207=B208, IFERROR((E208-E207)/ABS(E207), "n/a"), "")</f>
        <v/>
      </c>
      <c r="G208" t="n">
        <v>102.0335</v>
      </c>
    </row>
    <row r="209">
      <c r="A209" t="inlineStr">
        <is>
          <t>2026-10-16</t>
        </is>
      </c>
      <c r="B209" t="inlineStr">
        <is>
          <t>US Dollar</t>
        </is>
      </c>
      <c r="C209" t="n">
        <v>160</v>
      </c>
      <c r="D209" t="n">
        <v>158</v>
      </c>
      <c r="E209" t="n">
        <v>5.318</v>
      </c>
      <c r="F209">
        <f>IF(B208=B209, IFERROR((E209-E208)/ABS(E208), "n/a"), "")</f>
        <v/>
      </c>
      <c r="G209" t="n">
        <v>101.8502</v>
      </c>
    </row>
    <row r="210">
      <c r="A210" t="inlineStr">
        <is>
          <t>2026-10-17</t>
        </is>
      </c>
      <c r="B210" t="inlineStr">
        <is>
          <t>US Dollar</t>
        </is>
      </c>
      <c r="C210" t="n">
        <v>200</v>
      </c>
      <c r="D210" t="n">
        <v>197</v>
      </c>
      <c r="E210" t="n">
        <v>5.633</v>
      </c>
      <c r="F210">
        <f>IF(B209=B210, IFERROR((E210-E209)/ABS(E209), "n/a"), "")</f>
        <v/>
      </c>
      <c r="G210" t="n">
        <v>101.779</v>
      </c>
    </row>
    <row r="211">
      <c r="A211" t="inlineStr">
        <is>
          <t>2026-10-18</t>
        </is>
      </c>
      <c r="B211" t="inlineStr">
        <is>
          <t>US Dollar</t>
        </is>
      </c>
      <c r="C211" t="n">
        <v>195</v>
      </c>
      <c r="D211" t="n">
        <v>195</v>
      </c>
      <c r="E211" t="n">
        <v>6.245</v>
      </c>
      <c r="F211">
        <f>IF(B210=B211, IFERROR((E211-E210)/ABS(E210), "n/a"), "")</f>
        <v/>
      </c>
      <c r="G211" t="n">
        <v>101.8016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2026-10-19T09:43:22Z</dcterms:modified>
</cp:coreProperties>
</file>